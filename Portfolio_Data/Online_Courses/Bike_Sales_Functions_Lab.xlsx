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7ee0f4549ce9d8/Documentos/ZCisco/"/>
    </mc:Choice>
  </mc:AlternateContent>
  <xr:revisionPtr revIDLastSave="1" documentId="8_{4FCB7572-6A4F-4298-AD02-5489E96BF62D}" xr6:coauthVersionLast="47" xr6:coauthVersionMax="47" xr10:uidLastSave="{E510D907-45DC-4718-99EA-CD17B95AE3E0}"/>
  <bookViews>
    <workbookView xWindow="-120" yWindow="-120" windowWidth="20730" windowHeight="11160" xr2:uid="{2154CE54-431B-4228-A8A3-765CFEE80A9D}"/>
  </bookViews>
  <sheets>
    <sheet name="Bike_Sales_Functions_Lab" sheetId="1" r:id="rId1"/>
  </sheets>
  <definedNames>
    <definedName name="_xlnm._FilterDatabase" localSheetId="0" hidden="1">Bike_Sales_Functions_Lab!$A$1:$Y$89</definedName>
  </definedNames>
  <calcPr calcId="0"/>
</workbook>
</file>

<file path=xl/calcChain.xml><?xml version="1.0" encoding="utf-8"?>
<calcChain xmlns="http://schemas.openxmlformats.org/spreadsheetml/2006/main">
  <c r="P79" i="1" l="1"/>
  <c r="P59" i="1"/>
  <c r="P54" i="1"/>
  <c r="P48" i="1"/>
  <c r="P38" i="1"/>
  <c r="P35" i="1"/>
  <c r="P33" i="1"/>
  <c r="P18" i="1"/>
  <c r="P14" i="1"/>
  <c r="P9" i="1"/>
  <c r="P5" i="1"/>
  <c r="P4" i="1"/>
  <c r="P86" i="1"/>
  <c r="P85" i="1"/>
  <c r="P82" i="1"/>
  <c r="P80" i="1"/>
  <c r="P78" i="1"/>
  <c r="P77" i="1"/>
  <c r="P76" i="1"/>
  <c r="P72" i="1"/>
  <c r="P63" i="1"/>
  <c r="P62" i="1"/>
  <c r="P58" i="1"/>
  <c r="P57" i="1"/>
  <c r="P56" i="1"/>
  <c r="P55" i="1"/>
  <c r="P53" i="1"/>
  <c r="P52" i="1"/>
  <c r="P49" i="1"/>
  <c r="P46" i="1"/>
  <c r="P43" i="1"/>
  <c r="P42" i="1"/>
  <c r="P41" i="1"/>
  <c r="P40" i="1"/>
  <c r="P37" i="1"/>
  <c r="P36" i="1"/>
  <c r="P30" i="1"/>
  <c r="P25" i="1"/>
  <c r="P21" i="1"/>
  <c r="P20" i="1"/>
  <c r="P19" i="1"/>
  <c r="P17" i="1"/>
  <c r="P12" i="1"/>
  <c r="P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2" i="1"/>
  <c r="P6" i="1"/>
  <c r="P7" i="1"/>
  <c r="P8" i="1"/>
  <c r="P10" i="1"/>
  <c r="P11" i="1"/>
  <c r="P13" i="1"/>
  <c r="P15" i="1"/>
  <c r="P16" i="1"/>
  <c r="P22" i="1"/>
  <c r="P23" i="1"/>
  <c r="P24" i="1"/>
  <c r="P26" i="1"/>
  <c r="P27" i="1"/>
  <c r="P28" i="1"/>
  <c r="P29" i="1"/>
  <c r="P31" i="1"/>
  <c r="P32" i="1"/>
  <c r="P34" i="1"/>
  <c r="P39" i="1"/>
  <c r="P44" i="1"/>
  <c r="P45" i="1"/>
  <c r="P47" i="1"/>
  <c r="P50" i="1"/>
  <c r="P51" i="1"/>
  <c r="P60" i="1"/>
  <c r="P61" i="1"/>
  <c r="P64" i="1"/>
  <c r="P65" i="1"/>
  <c r="P66" i="1"/>
  <c r="P67" i="1"/>
  <c r="P68" i="1"/>
  <c r="P69" i="1"/>
  <c r="P70" i="1"/>
  <c r="P71" i="1"/>
  <c r="P73" i="1"/>
  <c r="P74" i="1"/>
  <c r="P75" i="1"/>
  <c r="P81" i="1"/>
  <c r="P83" i="1"/>
  <c r="P84" i="1"/>
  <c r="P87" i="1"/>
  <c r="P88" i="1"/>
  <c r="P89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2" i="1"/>
</calcChain>
</file>

<file path=xl/sharedStrings.xml><?xml version="1.0" encoding="utf-8"?>
<sst xmlns="http://schemas.openxmlformats.org/spreadsheetml/2006/main" count="815" uniqueCount="160">
  <si>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</si>
  <si>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</si>
  <si>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</si>
  <si>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</si>
  <si>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</si>
  <si>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</si>
  <si>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</si>
  <si>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</si>
  <si>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</si>
  <si>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</si>
  <si>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</si>
  <si>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</si>
  <si>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</si>
  <si>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</si>
  <si>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</si>
  <si>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</si>
  <si>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</si>
  <si>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</si>
  <si>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</si>
  <si>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Sales summary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</si>
  <si>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</si>
  <si>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</si>
  <si>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</si>
  <si>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</si>
  <si>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</si>
  <si>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</si>
  <si>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</si>
  <si>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</si>
  <si>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261695: 4 Mountain Bikes-01/12/2021</t>
  </si>
  <si>
    <t>M</t>
  </si>
  <si>
    <t>United Kingdom</t>
  </si>
  <si>
    <t>England</t>
  </si>
  <si>
    <t>Mountain-200 Silver, 42</t>
  </si>
  <si>
    <t>261696: 1 Mountain Bikes-01/12/2021</t>
  </si>
  <si>
    <t>Mountain-400-W Silver, 46</t>
  </si>
  <si>
    <t>261697: 2 Mountain Bikes-02/12/2021</t>
  </si>
  <si>
    <t>Young Adults (25-34)</t>
  </si>
  <si>
    <t>Australia</t>
  </si>
  <si>
    <t>New South Wales</t>
  </si>
  <si>
    <t>Mountain-400-W Silver, 42</t>
  </si>
  <si>
    <t>261698: 1 Mountain Bikes-02/12/2021</t>
  </si>
  <si>
    <t>261699: 2 Mountain Bikes-03/12/2021</t>
  </si>
  <si>
    <t>Youth (&lt;25)</t>
  </si>
  <si>
    <t>Mountain-200 Black, 38</t>
  </si>
  <si>
    <t>261700: 1 Mountain Bikes-03/12/2021</t>
  </si>
  <si>
    <t>Washington</t>
  </si>
  <si>
    <t>261701: 1 Mountain Bikes-03/12/2021</t>
  </si>
  <si>
    <t>261702: 4 Mountain Bikes-04/12/2021</t>
  </si>
  <si>
    <t>261703: 4 Mountain Bikes-05/12/2021</t>
  </si>
  <si>
    <t>Germany</t>
  </si>
  <si>
    <t>Nordrhein-Westfalen</t>
  </si>
  <si>
    <t>261704: 4 Mountain Bikes-05/12/2021</t>
  </si>
  <si>
    <t>Queensland</t>
  </si>
  <si>
    <t>Mountain-200 Silver, 38</t>
  </si>
  <si>
    <t>261705: 1 Mountain Bikes-05/12/2021</t>
  </si>
  <si>
    <t>261706: 1 Mountain Bikes-05/12/2021</t>
  </si>
  <si>
    <t>261707: 3 Mountain Bikes-06/12/2021</t>
  </si>
  <si>
    <t>Canada</t>
  </si>
  <si>
    <t>British Columbia</t>
  </si>
  <si>
    <t>261708: 1 Mountain Bikes-06/12/2021</t>
  </si>
  <si>
    <t>Mountain-200 Black, 42</t>
  </si>
  <si>
    <t>261709: 1 Mountain Bikes-06/12/2021</t>
  </si>
  <si>
    <t>261710: 1 Mountain Bikes-06/12/2021</t>
  </si>
  <si>
    <t>Mountain-400-W Silver, 38</t>
  </si>
  <si>
    <t>261711: 4 Mountain Bikes-07/12/2021</t>
  </si>
  <si>
    <t>261712: 2 Mountain Bikes-07/12/2021</t>
  </si>
  <si>
    <t>Mountain-500 Silver, 42</t>
  </si>
  <si>
    <t>261713: 4 Mountain Bikes-08/12/2021</t>
  </si>
  <si>
    <t>261714: 4 Mountain Bikes-08/12/2021</t>
  </si>
  <si>
    <t>Oregon</t>
  </si>
  <si>
    <t>261715: 2 Mountain Bikes-08/12/2021</t>
  </si>
  <si>
    <t>Mountain-500 Black, 42</t>
  </si>
  <si>
    <t>261716: 1 Mountain Bikes-08/12/2021</t>
  </si>
  <si>
    <t>Victoria</t>
  </si>
  <si>
    <t>Mountain-100 Black, 38</t>
  </si>
  <si>
    <t>261717: 2 Mountain Bikes-09/12/2021</t>
  </si>
  <si>
    <t>Hamburg</t>
  </si>
  <si>
    <t>261718: 1 Mountain Bikes-09/12/2021</t>
  </si>
  <si>
    <t>261719: 2 Mountain Bikes-10/12/2021</t>
  </si>
  <si>
    <t>261720: 2 Mountain Bikes-10/12/2021</t>
  </si>
  <si>
    <t>261721: 1 Mountain Bikes-10/12/2021</t>
  </si>
  <si>
    <t>Mountain-500 Black, 40</t>
  </si>
  <si>
    <t>261722: 1 Mountain Bikes-10/12/2021</t>
  </si>
  <si>
    <t>Mountain-100 Silver, 44</t>
  </si>
  <si>
    <t>261723: 1 Mountain Bikes-10/12/2021</t>
  </si>
  <si>
    <t>261724: 1 Mountain Bikes-10/12/2021</t>
  </si>
  <si>
    <t>France</t>
  </si>
  <si>
    <t>Seine (Paris)</t>
  </si>
  <si>
    <t>261725: 3 Mountain Bikes-11/12/2021</t>
  </si>
  <si>
    <t>261726: 2 Mountain Bikes-11/12/2021</t>
  </si>
  <si>
    <t>261727: 1 Mountain Bikes-11/12/2021</t>
  </si>
  <si>
    <t>261728: 1 Mountain Bikes-11/12/2021</t>
  </si>
  <si>
    <t>261729: 1 Mountain Bikes-11/12/2021</t>
  </si>
  <si>
    <t>261730: 4 Mountain Bikes-12/12/2021</t>
  </si>
  <si>
    <t>261731: 4 Mountain Bikes-12/12/2021</t>
  </si>
  <si>
    <t>261732: 2 Mountain Bikes-12/12/2021</t>
  </si>
  <si>
    <t>261733: 1 Mountain Bikes-12/12/2021</t>
  </si>
  <si>
    <t>261734: 1 Mountain Bikes-12/12/2021</t>
  </si>
  <si>
    <t>261735: 3 Mountain Bikes-13/12/2021</t>
  </si>
  <si>
    <t>Mountain-500 Silver, 40</t>
  </si>
  <si>
    <t>261736: 1 Mountain Bikes-13/12/2021</t>
  </si>
  <si>
    <t>261737: 1 Mountain Bikes-13/12/2021</t>
  </si>
  <si>
    <t>261738: 1 Mountain Bikes-13/12/2021</t>
  </si>
  <si>
    <t>261739: 2 Mountain Bikes-14/12/2021</t>
  </si>
  <si>
    <t>261740: 1 Mountain Bikes-14/12/2021</t>
  </si>
  <si>
    <t>261741: 1 Mountain Bikes-14/12/2021</t>
  </si>
  <si>
    <t>261742: 1 Mountain Bikes-15/12/2021</t>
  </si>
  <si>
    <t>261743: 2 Mountain Bikes-16/12/2021</t>
  </si>
  <si>
    <t>261744: 2 Mountain Bikes-16/12/2021</t>
  </si>
  <si>
    <t>Seine et Marne</t>
  </si>
  <si>
    <t>Mountain-200 Silver, 46</t>
  </si>
  <si>
    <t>261745: 1 Mountain Bikes-16/12/2021</t>
  </si>
  <si>
    <t>261746: 2 Mountain Bikes-17/12/2021</t>
  </si>
  <si>
    <t>261747: 1 Mountain Bikes-17/12/2021</t>
  </si>
  <si>
    <t>261748: 1 Mountain Bikes-17/12/2021</t>
  </si>
  <si>
    <t>261749: 4 Mountain Bikes-18/12/2021</t>
  </si>
  <si>
    <t>261750: 4 Mountain Bikes-18/12/2021</t>
  </si>
  <si>
    <t>Seine Saint Denis</t>
  </si>
  <si>
    <t>261751: 3 Mountain Bikes-18/12/2021</t>
  </si>
  <si>
    <t>261752: 3 Mountain Bikes-18/12/2021</t>
  </si>
  <si>
    <t>261753: 3 Mountain Bikes-18/12/2021</t>
  </si>
  <si>
    <t>261754: 1 Mountain Bikes-18/12/2021</t>
  </si>
  <si>
    <t>261755: 1 Mountain Bikes-18/12/2021</t>
  </si>
  <si>
    <t>Nord</t>
  </si>
  <si>
    <t>261756: 4 Mountain Bikes-19/12/2021</t>
  </si>
  <si>
    <t>Mountain-500 Black, 44</t>
  </si>
  <si>
    <t>261757: 4 Mountain Bikes-19/12/2021</t>
  </si>
  <si>
    <t>261758: 4 Mountain Bikes-19/12/2021</t>
  </si>
  <si>
    <t>Mountain-100 Black, 48</t>
  </si>
  <si>
    <t>261759: 4 Mountain Bikes-19/12/2021</t>
  </si>
  <si>
    <t>261760: 4 Mountain Bikes-19/12/2021</t>
  </si>
  <si>
    <t>261761: 4 Mountain Bikes-19/12/2021</t>
  </si>
  <si>
    <t>261762: 4 Mountain Bikes-19/12/2021</t>
  </si>
  <si>
    <t>South Australia</t>
  </si>
  <si>
    <t>261763: 2 Mountain Bikes-19/12/2021</t>
  </si>
  <si>
    <t>Hessen</t>
  </si>
  <si>
    <t>261764: 2 Mountain Bikes-19/12/2021</t>
  </si>
  <si>
    <t>261765: 1 Mountain Bikes-19/12/2021</t>
  </si>
  <si>
    <t>261766: 4 Mountain Bikes-20/12/2021</t>
  </si>
  <si>
    <t>261767: 4 Mountain Bikes-20/12/2021</t>
  </si>
  <si>
    <t>Mountain-500 Black, 52</t>
  </si>
  <si>
    <t>261768: 3 Mountain Bikes-20/12/2021</t>
  </si>
  <si>
    <t>261769: 1 Mountain Bikes-20/12/2021</t>
  </si>
  <si>
    <t>261770: 1 Mountain Bikes-20/12/2021</t>
  </si>
  <si>
    <t>Somme</t>
  </si>
  <si>
    <t>261771: 3 Mountain Bikes-21/12/2021</t>
  </si>
  <si>
    <t>261772: 2 Mountain Bikes-21/12/2021</t>
  </si>
  <si>
    <t>261773: 3 Mountain Bikes-22/12/2021</t>
  </si>
  <si>
    <t>261774: 3 Mountain Bikes-22/12/2021</t>
  </si>
  <si>
    <t>261775: 1 Mountain Bikes-22/12/2021</t>
  </si>
  <si>
    <t>261776: 1 Mountain Bikes-22/12/2021</t>
  </si>
  <si>
    <t>261777: 1 Mountain Bikes-22/12/2021</t>
  </si>
  <si>
    <t>261778: 1 Mountain Bikes-22/12/2021</t>
  </si>
  <si>
    <t>261779: 1 Mountain Bikes-23/12/2021</t>
  </si>
  <si>
    <t>261780: 1 Mountain Bikes-23/12/2021</t>
  </si>
  <si>
    <t>261781: 1 Mountain Bikes-23/12/2021</t>
  </si>
  <si>
    <t>261782: 4 Mountain Bikes-24/12/2021</t>
  </si>
  <si>
    <t>Model</t>
  </si>
  <si>
    <t>Color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</si>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</sst>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3800-B2EE-4AB1-A761-7F94ADA90812}">
  <dimension ref="A1:Y89"/>
  <sheetViews>
    <sheetView tabSelected="1" workbookViewId="0">
      <selection activeCell="H12" sqref="H12"/>
    </sheetView>
  </sheetViews>
  <sheetFormatPr baseColWidth="10" defaultRowHeight="15" x14ac:dyDescent="0.25"/>
  <cols>
    <col min="1" max="1" width="13.140625" bestFit="1" customWidth="1"/>
    <col min="5" max="5" width="10.140625" bestFit="1" customWidth="1"/>
    <col min="7" max="7" width="16.28515625" bestFit="1" customWidth="1"/>
    <col min="8" max="8" width="19.28515625" bestFit="1" customWidth="1"/>
    <col min="9" max="9" width="17.28515625" bestFit="1" customWidth="1"/>
    <col min="10" max="10" width="15.28515625" bestFit="1" customWidth="1"/>
    <col min="11" max="11" width="20.140625" bestFit="1" customWidth="1"/>
    <col min="12" max="12" width="19.140625" bestFit="1" customWidth="1"/>
    <col min="13" max="13" width="15.42578125" bestFit="1" customWidth="1"/>
    <col min="14" max="14" width="24.5703125" bestFit="1" customWidth="1"/>
    <col min="15" max="17" width="24.5703125" customWidth="1"/>
    <col min="18" max="18" width="17.140625" bestFit="1" customWidth="1"/>
    <col min="20" max="20" width="12.7109375" bestFit="1" customWidth="1"/>
    <col min="21" max="21" width="13.28515625" bestFit="1" customWidth="1"/>
    <col min="22" max="23" width="9.85546875" bestFit="1" customWidth="1"/>
    <col min="24" max="24" width="11.140625" bestFit="1" customWidth="1"/>
    <col min="25" max="25" width="34.140625" bestFit="1" customWidth="1"/>
  </cols>
  <sheetData>
    <row r="1" spans="1:25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157</v>
      </c>
      <c r="P1" t="s">
        <v>158</v>
      </c>
      <c r="Q1" t="s">
        <v>159</v>
      </c>
      <c r="R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</row>
    <row r="2" spans="1:25" x14ac:dyDescent="0.25">
      <c r="A2">
        <v>261695</v>
      </c>
      <c r="B2">
        <v>1</v>
      </c>
      <c r="C2" s="1">
        <v>44531</v>
      </c>
      <c r="D2">
        <v>1</v>
      </c>
      <c r="E2" t="s">
        <v>20</v>
      </c>
      <c r="F2">
        <v>2021</v>
      </c>
      <c r="G2">
        <v>39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tr">
        <f>LEFT(N2,12)</f>
        <v>Mountain-200</v>
      </c>
      <c r="P2" t="str">
        <f>MID(N2,14,5)</f>
        <v>Black</v>
      </c>
      <c r="Q2" t="str">
        <f>RIGHT(N2,2)</f>
        <v>46</v>
      </c>
      <c r="R2">
        <v>4</v>
      </c>
      <c r="S2">
        <v>88</v>
      </c>
      <c r="T2" s="2">
        <v>1252</v>
      </c>
      <c r="U2" s="2">
        <v>2295</v>
      </c>
      <c r="V2" s="2">
        <v>4172</v>
      </c>
      <c r="W2" s="2">
        <v>5008</v>
      </c>
      <c r="X2" s="2">
        <v>9180</v>
      </c>
      <c r="Y2" t="s">
        <v>28</v>
      </c>
    </row>
    <row r="3" spans="1:25" x14ac:dyDescent="0.25">
      <c r="A3">
        <v>261696</v>
      </c>
      <c r="B3">
        <v>1</v>
      </c>
      <c r="C3" s="1">
        <v>44531</v>
      </c>
      <c r="D3">
        <v>1</v>
      </c>
      <c r="E3" t="s">
        <v>20</v>
      </c>
      <c r="F3">
        <v>2021</v>
      </c>
      <c r="G3">
        <v>44</v>
      </c>
      <c r="H3" t="s">
        <v>21</v>
      </c>
      <c r="I3" t="s">
        <v>29</v>
      </c>
      <c r="J3" t="s">
        <v>30</v>
      </c>
      <c r="K3" t="s">
        <v>31</v>
      </c>
      <c r="L3" t="s">
        <v>25</v>
      </c>
      <c r="M3" t="s">
        <v>26</v>
      </c>
      <c r="N3" t="s">
        <v>32</v>
      </c>
      <c r="O3" t="str">
        <f t="shared" ref="O3:O66" si="0">LEFT(N3,12)</f>
        <v>Mountain-200</v>
      </c>
      <c r="P3" t="str">
        <f>MID(N3,14,6)</f>
        <v>Silver</v>
      </c>
      <c r="Q3" t="str">
        <f t="shared" ref="Q3:Q66" si="1">RIGHT(N3,2)</f>
        <v>42</v>
      </c>
      <c r="R3">
        <v>1</v>
      </c>
      <c r="S3">
        <v>0</v>
      </c>
      <c r="T3" s="2">
        <v>1266</v>
      </c>
      <c r="U3" s="2">
        <v>2320</v>
      </c>
      <c r="V3" s="2">
        <v>1054</v>
      </c>
      <c r="W3" s="2">
        <v>1266</v>
      </c>
      <c r="X3" s="2">
        <v>2320</v>
      </c>
      <c r="Y3" t="s">
        <v>33</v>
      </c>
    </row>
    <row r="4" spans="1:25" x14ac:dyDescent="0.25">
      <c r="A4">
        <v>261697</v>
      </c>
      <c r="B4">
        <v>1</v>
      </c>
      <c r="C4" s="1">
        <v>44532</v>
      </c>
      <c r="D4">
        <v>2</v>
      </c>
      <c r="E4" t="s">
        <v>20</v>
      </c>
      <c r="F4">
        <v>2021</v>
      </c>
      <c r="G4">
        <v>37</v>
      </c>
      <c r="H4" t="s">
        <v>21</v>
      </c>
      <c r="I4" t="s">
        <v>29</v>
      </c>
      <c r="J4" t="s">
        <v>23</v>
      </c>
      <c r="K4" t="s">
        <v>24</v>
      </c>
      <c r="L4" t="s">
        <v>25</v>
      </c>
      <c r="M4" t="s">
        <v>26</v>
      </c>
      <c r="N4" t="s">
        <v>34</v>
      </c>
      <c r="O4" t="str">
        <f t="shared" si="0"/>
        <v>Mountain-400</v>
      </c>
      <c r="P4" t="str">
        <f>MID(N4,14,8)</f>
        <v>W Silver</v>
      </c>
      <c r="Q4" t="str">
        <f t="shared" si="1"/>
        <v>46</v>
      </c>
      <c r="R4">
        <v>2</v>
      </c>
      <c r="S4">
        <v>1</v>
      </c>
      <c r="T4" s="2">
        <v>420</v>
      </c>
      <c r="U4" s="2">
        <v>769</v>
      </c>
      <c r="V4" s="2">
        <v>698</v>
      </c>
      <c r="W4" s="2">
        <v>840</v>
      </c>
      <c r="X4" s="2">
        <v>1538</v>
      </c>
      <c r="Y4" t="s">
        <v>35</v>
      </c>
    </row>
    <row r="5" spans="1:25" x14ac:dyDescent="0.25">
      <c r="A5">
        <v>261698</v>
      </c>
      <c r="B5">
        <v>1</v>
      </c>
      <c r="C5" s="1">
        <v>44532</v>
      </c>
      <c r="D5">
        <v>2</v>
      </c>
      <c r="E5" t="s">
        <v>20</v>
      </c>
      <c r="F5">
        <v>2021</v>
      </c>
      <c r="G5">
        <v>31</v>
      </c>
      <c r="H5" t="s">
        <v>36</v>
      </c>
      <c r="I5" t="s">
        <v>22</v>
      </c>
      <c r="J5" t="s">
        <v>37</v>
      </c>
      <c r="K5" t="s">
        <v>38</v>
      </c>
      <c r="L5" t="s">
        <v>25</v>
      </c>
      <c r="M5" t="s">
        <v>26</v>
      </c>
      <c r="N5" t="s">
        <v>39</v>
      </c>
      <c r="O5" t="str">
        <f t="shared" si="0"/>
        <v>Mountain-400</v>
      </c>
      <c r="P5" t="str">
        <f>MID(N5,14,8)</f>
        <v>W Silver</v>
      </c>
      <c r="Q5" t="str">
        <f t="shared" si="1"/>
        <v>42</v>
      </c>
      <c r="R5">
        <v>1</v>
      </c>
      <c r="T5" s="2">
        <v>420</v>
      </c>
      <c r="U5" s="2">
        <v>769</v>
      </c>
      <c r="V5" s="2">
        <v>349</v>
      </c>
      <c r="W5" s="2">
        <v>420</v>
      </c>
      <c r="X5" s="2">
        <v>769</v>
      </c>
      <c r="Y5" t="s">
        <v>40</v>
      </c>
    </row>
    <row r="6" spans="1:25" x14ac:dyDescent="0.25">
      <c r="A6">
        <v>261699</v>
      </c>
      <c r="B6">
        <v>1</v>
      </c>
      <c r="C6" s="1">
        <v>44533</v>
      </c>
      <c r="D6">
        <v>3</v>
      </c>
      <c r="E6" t="s">
        <v>20</v>
      </c>
      <c r="F6">
        <v>2021</v>
      </c>
      <c r="G6">
        <v>37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tr">
        <f t="shared" si="0"/>
        <v>Mountain-200</v>
      </c>
      <c r="P6" t="str">
        <f t="shared" ref="P3:P66" si="2">MID(N6,14,5)</f>
        <v>Black</v>
      </c>
      <c r="Q6" t="str">
        <f t="shared" si="1"/>
        <v>46</v>
      </c>
      <c r="R6">
        <v>2</v>
      </c>
      <c r="T6" s="2">
        <v>1252</v>
      </c>
      <c r="U6" s="2">
        <v>2295</v>
      </c>
      <c r="V6" s="2">
        <v>2086</v>
      </c>
      <c r="W6" s="2">
        <v>2504</v>
      </c>
      <c r="X6" s="2">
        <v>4590</v>
      </c>
      <c r="Y6" t="s">
        <v>41</v>
      </c>
    </row>
    <row r="7" spans="1:25" x14ac:dyDescent="0.25">
      <c r="A7">
        <v>261700</v>
      </c>
      <c r="B7">
        <v>1</v>
      </c>
      <c r="C7" s="1">
        <v>44533</v>
      </c>
      <c r="D7">
        <v>3</v>
      </c>
      <c r="E7" t="s">
        <v>20</v>
      </c>
      <c r="F7">
        <v>2021</v>
      </c>
      <c r="G7">
        <v>24</v>
      </c>
      <c r="H7" t="s">
        <v>42</v>
      </c>
      <c r="I7" t="s">
        <v>22</v>
      </c>
      <c r="J7" t="s">
        <v>30</v>
      </c>
      <c r="K7" t="s">
        <v>31</v>
      </c>
      <c r="L7" t="s">
        <v>25</v>
      </c>
      <c r="M7" t="s">
        <v>26</v>
      </c>
      <c r="N7" t="s">
        <v>43</v>
      </c>
      <c r="O7" t="str">
        <f t="shared" si="0"/>
        <v>Mountain-200</v>
      </c>
      <c r="P7" t="str">
        <f t="shared" si="2"/>
        <v>Black</v>
      </c>
      <c r="Q7" t="str">
        <f t="shared" si="1"/>
        <v>38</v>
      </c>
      <c r="R7">
        <v>1</v>
      </c>
      <c r="T7" s="2">
        <v>1252</v>
      </c>
      <c r="U7" s="2">
        <v>2295</v>
      </c>
      <c r="V7" s="2">
        <v>1043</v>
      </c>
      <c r="W7" s="2">
        <v>1252</v>
      </c>
      <c r="X7" s="2">
        <v>2295</v>
      </c>
      <c r="Y7" t="s">
        <v>44</v>
      </c>
    </row>
    <row r="8" spans="1:25" x14ac:dyDescent="0.25">
      <c r="A8">
        <v>261701</v>
      </c>
      <c r="B8">
        <v>1</v>
      </c>
      <c r="C8" s="1">
        <v>44533</v>
      </c>
      <c r="D8">
        <v>3</v>
      </c>
      <c r="E8" t="s">
        <v>20</v>
      </c>
      <c r="F8">
        <v>2021</v>
      </c>
      <c r="G8">
        <v>37</v>
      </c>
      <c r="H8" t="s">
        <v>21</v>
      </c>
      <c r="I8" t="s">
        <v>29</v>
      </c>
      <c r="J8" t="s">
        <v>23</v>
      </c>
      <c r="K8" t="s">
        <v>45</v>
      </c>
      <c r="L8" t="s">
        <v>25</v>
      </c>
      <c r="M8" t="s">
        <v>26</v>
      </c>
      <c r="N8" t="s">
        <v>27</v>
      </c>
      <c r="O8" t="str">
        <f t="shared" si="0"/>
        <v>Mountain-200</v>
      </c>
      <c r="P8" t="str">
        <f t="shared" si="2"/>
        <v>Black</v>
      </c>
      <c r="Q8" t="str">
        <f t="shared" si="1"/>
        <v>46</v>
      </c>
      <c r="R8">
        <v>1</v>
      </c>
      <c r="T8" s="2">
        <v>1252</v>
      </c>
      <c r="U8" s="2">
        <v>2295</v>
      </c>
      <c r="V8" s="2">
        <v>1043</v>
      </c>
      <c r="W8" s="2">
        <v>1252</v>
      </c>
      <c r="X8" s="2">
        <v>2295</v>
      </c>
      <c r="Y8" t="s">
        <v>46</v>
      </c>
    </row>
    <row r="9" spans="1:25" x14ac:dyDescent="0.25">
      <c r="A9">
        <v>261702</v>
      </c>
      <c r="B9">
        <v>1</v>
      </c>
      <c r="C9" s="1">
        <v>44534</v>
      </c>
      <c r="D9">
        <v>4</v>
      </c>
      <c r="E9" t="s">
        <v>20</v>
      </c>
      <c r="F9">
        <v>2021</v>
      </c>
      <c r="G9">
        <v>31</v>
      </c>
      <c r="H9" t="s">
        <v>36</v>
      </c>
      <c r="I9" t="s">
        <v>22</v>
      </c>
      <c r="J9" t="s">
        <v>37</v>
      </c>
      <c r="K9" t="s">
        <v>38</v>
      </c>
      <c r="L9" t="s">
        <v>25</v>
      </c>
      <c r="M9" t="s">
        <v>26</v>
      </c>
      <c r="N9" t="s">
        <v>39</v>
      </c>
      <c r="O9" t="str">
        <f t="shared" si="0"/>
        <v>Mountain-400</v>
      </c>
      <c r="P9" t="str">
        <f>MID(N9,14,8)</f>
        <v>W Silver</v>
      </c>
      <c r="Q9" t="str">
        <f t="shared" si="1"/>
        <v>42</v>
      </c>
      <c r="R9">
        <v>4</v>
      </c>
      <c r="T9" s="2">
        <v>420</v>
      </c>
      <c r="U9" s="2">
        <v>769</v>
      </c>
      <c r="V9" s="2">
        <v>1396</v>
      </c>
      <c r="W9" s="2">
        <v>1680</v>
      </c>
      <c r="X9" s="2">
        <v>3076</v>
      </c>
      <c r="Y9" t="s">
        <v>47</v>
      </c>
    </row>
    <row r="10" spans="1:25" x14ac:dyDescent="0.25">
      <c r="A10">
        <v>261703</v>
      </c>
      <c r="B10">
        <v>1</v>
      </c>
      <c r="C10" s="1">
        <v>44535</v>
      </c>
      <c r="D10">
        <v>5</v>
      </c>
      <c r="E10" t="s">
        <v>20</v>
      </c>
      <c r="F10">
        <v>2021</v>
      </c>
      <c r="G10">
        <v>39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 t="str">
        <f t="shared" si="0"/>
        <v>Mountain-200</v>
      </c>
      <c r="P10" t="str">
        <f t="shared" si="2"/>
        <v>Black</v>
      </c>
      <c r="Q10" t="str">
        <f t="shared" si="1"/>
        <v>46</v>
      </c>
      <c r="R10">
        <v>4</v>
      </c>
      <c r="T10" s="2">
        <v>1252</v>
      </c>
      <c r="U10" s="2">
        <v>2295</v>
      </c>
      <c r="V10" s="2">
        <v>4172</v>
      </c>
      <c r="W10" s="2">
        <v>5008</v>
      </c>
      <c r="X10" s="2">
        <v>9180</v>
      </c>
      <c r="Y10" t="s">
        <v>48</v>
      </c>
    </row>
    <row r="11" spans="1:25" x14ac:dyDescent="0.25">
      <c r="A11">
        <v>261704</v>
      </c>
      <c r="B11">
        <v>1</v>
      </c>
      <c r="C11" s="1">
        <v>44535</v>
      </c>
      <c r="D11">
        <v>5</v>
      </c>
      <c r="E11" t="s">
        <v>20</v>
      </c>
      <c r="F11">
        <v>2021</v>
      </c>
      <c r="G11">
        <v>42</v>
      </c>
      <c r="H11" t="s">
        <v>21</v>
      </c>
      <c r="I11" t="s">
        <v>29</v>
      </c>
      <c r="J11" t="s">
        <v>49</v>
      </c>
      <c r="K11" t="s">
        <v>50</v>
      </c>
      <c r="L11" t="s">
        <v>25</v>
      </c>
      <c r="M11" t="s">
        <v>26</v>
      </c>
      <c r="N11" t="s">
        <v>43</v>
      </c>
      <c r="O11" t="str">
        <f t="shared" si="0"/>
        <v>Mountain-200</v>
      </c>
      <c r="P11" t="str">
        <f t="shared" si="2"/>
        <v>Black</v>
      </c>
      <c r="Q11" t="str">
        <f t="shared" si="1"/>
        <v>38</v>
      </c>
      <c r="R11">
        <v>4</v>
      </c>
      <c r="T11" s="2">
        <v>1252</v>
      </c>
      <c r="U11" s="2">
        <v>2295</v>
      </c>
      <c r="V11" s="2">
        <v>4172</v>
      </c>
      <c r="W11" s="2">
        <v>5008</v>
      </c>
      <c r="X11" s="2">
        <v>9180</v>
      </c>
      <c r="Y11" t="s">
        <v>51</v>
      </c>
    </row>
    <row r="12" spans="1:25" x14ac:dyDescent="0.25">
      <c r="A12">
        <v>261705</v>
      </c>
      <c r="B12">
        <v>1</v>
      </c>
      <c r="C12" s="1">
        <v>44535</v>
      </c>
      <c r="D12">
        <v>5</v>
      </c>
      <c r="E12" t="s">
        <v>20</v>
      </c>
      <c r="F12">
        <v>2021</v>
      </c>
      <c r="G12">
        <v>35</v>
      </c>
      <c r="H12" t="s">
        <v>21</v>
      </c>
      <c r="I12" t="s">
        <v>22</v>
      </c>
      <c r="J12" t="s">
        <v>37</v>
      </c>
      <c r="K12" t="s">
        <v>52</v>
      </c>
      <c r="L12" t="s">
        <v>25</v>
      </c>
      <c r="M12" t="s">
        <v>26</v>
      </c>
      <c r="N12" t="s">
        <v>53</v>
      </c>
      <c r="O12" t="str">
        <f t="shared" si="0"/>
        <v>Mountain-200</v>
      </c>
      <c r="P12" t="str">
        <f>MID(N12,14,6)</f>
        <v>Silver</v>
      </c>
      <c r="Q12" t="str">
        <f t="shared" si="1"/>
        <v>38</v>
      </c>
      <c r="R12">
        <v>1</v>
      </c>
      <c r="T12" s="2">
        <v>1266</v>
      </c>
      <c r="U12" s="2">
        <v>2320</v>
      </c>
      <c r="V12" s="2">
        <v>1054</v>
      </c>
      <c r="W12" s="2">
        <v>1266</v>
      </c>
      <c r="X12" s="2">
        <v>2320</v>
      </c>
      <c r="Y12" t="s">
        <v>54</v>
      </c>
    </row>
    <row r="13" spans="1:25" x14ac:dyDescent="0.25">
      <c r="A13">
        <v>261706</v>
      </c>
      <c r="B13">
        <v>1</v>
      </c>
      <c r="C13" s="1">
        <v>44535</v>
      </c>
      <c r="D13">
        <v>5</v>
      </c>
      <c r="E13" t="s">
        <v>20</v>
      </c>
      <c r="F13">
        <v>2021</v>
      </c>
      <c r="G13">
        <v>37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O13" t="str">
        <f t="shared" si="0"/>
        <v>Mountain-200</v>
      </c>
      <c r="P13" t="str">
        <f t="shared" si="2"/>
        <v>Black</v>
      </c>
      <c r="Q13" t="str">
        <f t="shared" si="1"/>
        <v>46</v>
      </c>
      <c r="R13">
        <v>1</v>
      </c>
      <c r="T13" s="2">
        <v>1252</v>
      </c>
      <c r="U13" s="2">
        <v>2295</v>
      </c>
      <c r="V13" s="2">
        <v>1043</v>
      </c>
      <c r="W13" s="2">
        <v>1252</v>
      </c>
      <c r="X13" s="2">
        <v>2295</v>
      </c>
      <c r="Y13" t="s">
        <v>55</v>
      </c>
    </row>
    <row r="14" spans="1:25" x14ac:dyDescent="0.25">
      <c r="A14">
        <v>261707</v>
      </c>
      <c r="B14">
        <v>1</v>
      </c>
      <c r="C14" s="1">
        <v>44536</v>
      </c>
      <c r="D14">
        <v>6</v>
      </c>
      <c r="E14" t="s">
        <v>20</v>
      </c>
      <c r="F14">
        <v>2021</v>
      </c>
      <c r="G14">
        <v>23</v>
      </c>
      <c r="H14" t="s">
        <v>42</v>
      </c>
      <c r="I14" t="s">
        <v>29</v>
      </c>
      <c r="J14" t="s">
        <v>30</v>
      </c>
      <c r="K14" t="s">
        <v>31</v>
      </c>
      <c r="L14" t="s">
        <v>25</v>
      </c>
      <c r="M14" t="s">
        <v>26</v>
      </c>
      <c r="N14" t="s">
        <v>34</v>
      </c>
      <c r="O14" t="str">
        <f t="shared" si="0"/>
        <v>Mountain-400</v>
      </c>
      <c r="P14" t="str">
        <f>MID(N14,14,8)</f>
        <v>W Silver</v>
      </c>
      <c r="Q14" t="str">
        <f t="shared" si="1"/>
        <v>46</v>
      </c>
      <c r="R14">
        <v>3</v>
      </c>
      <c r="T14" s="2">
        <v>420</v>
      </c>
      <c r="U14" s="2">
        <v>769</v>
      </c>
      <c r="V14" s="2">
        <v>1047</v>
      </c>
      <c r="W14" s="2">
        <v>1260</v>
      </c>
      <c r="X14" s="2">
        <v>2307</v>
      </c>
      <c r="Y14" t="s">
        <v>56</v>
      </c>
    </row>
    <row r="15" spans="1:25" x14ac:dyDescent="0.25">
      <c r="A15">
        <v>261708</v>
      </c>
      <c r="B15">
        <v>1</v>
      </c>
      <c r="C15" s="1">
        <v>44536</v>
      </c>
      <c r="D15">
        <v>6</v>
      </c>
      <c r="E15" t="s">
        <v>20</v>
      </c>
      <c r="F15">
        <v>2021</v>
      </c>
      <c r="G15">
        <v>27</v>
      </c>
      <c r="H15" t="s">
        <v>36</v>
      </c>
      <c r="I15" t="s">
        <v>29</v>
      </c>
      <c r="J15" t="s">
        <v>57</v>
      </c>
      <c r="K15" t="s">
        <v>58</v>
      </c>
      <c r="L15" t="s">
        <v>25</v>
      </c>
      <c r="M15" t="s">
        <v>26</v>
      </c>
      <c r="N15" t="s">
        <v>27</v>
      </c>
      <c r="O15" t="str">
        <f t="shared" si="0"/>
        <v>Mountain-200</v>
      </c>
      <c r="P15" t="str">
        <f t="shared" si="2"/>
        <v>Black</v>
      </c>
      <c r="Q15" t="str">
        <f t="shared" si="1"/>
        <v>46</v>
      </c>
      <c r="R15">
        <v>1</v>
      </c>
      <c r="T15" s="2">
        <v>1252</v>
      </c>
      <c r="U15" s="2">
        <v>2295</v>
      </c>
      <c r="V15" s="2">
        <v>1043</v>
      </c>
      <c r="W15" s="2">
        <v>1252</v>
      </c>
      <c r="X15" s="2">
        <v>2295</v>
      </c>
      <c r="Y15" t="s">
        <v>59</v>
      </c>
    </row>
    <row r="16" spans="1:25" x14ac:dyDescent="0.25">
      <c r="A16">
        <v>261709</v>
      </c>
      <c r="B16">
        <v>1</v>
      </c>
      <c r="C16" s="1">
        <v>44536</v>
      </c>
      <c r="D16">
        <v>6</v>
      </c>
      <c r="E16" t="s">
        <v>20</v>
      </c>
      <c r="F16">
        <v>2021</v>
      </c>
      <c r="G16">
        <v>36</v>
      </c>
      <c r="H16" t="s">
        <v>21</v>
      </c>
      <c r="I16" t="s">
        <v>29</v>
      </c>
      <c r="J16" t="s">
        <v>37</v>
      </c>
      <c r="K16" t="s">
        <v>38</v>
      </c>
      <c r="L16" t="s">
        <v>25</v>
      </c>
      <c r="M16" t="s">
        <v>26</v>
      </c>
      <c r="N16" t="s">
        <v>60</v>
      </c>
      <c r="O16" t="str">
        <f t="shared" si="0"/>
        <v>Mountain-200</v>
      </c>
      <c r="P16" t="str">
        <f t="shared" si="2"/>
        <v>Black</v>
      </c>
      <c r="Q16" t="str">
        <f t="shared" si="1"/>
        <v>42</v>
      </c>
      <c r="R16">
        <v>1</v>
      </c>
      <c r="T16" s="2">
        <v>1252</v>
      </c>
      <c r="U16" s="2">
        <v>2295</v>
      </c>
      <c r="V16" s="2">
        <v>1043</v>
      </c>
      <c r="W16" s="2">
        <v>1252</v>
      </c>
      <c r="X16" s="2">
        <v>2295</v>
      </c>
      <c r="Y16" t="s">
        <v>61</v>
      </c>
    </row>
    <row r="17" spans="1:25" x14ac:dyDescent="0.25">
      <c r="A17">
        <v>261710</v>
      </c>
      <c r="B17">
        <v>1</v>
      </c>
      <c r="C17" s="1">
        <v>44536</v>
      </c>
      <c r="D17">
        <v>6</v>
      </c>
      <c r="E17" t="s">
        <v>20</v>
      </c>
      <c r="F17">
        <v>2021</v>
      </c>
      <c r="G17">
        <v>47</v>
      </c>
      <c r="H17" t="s">
        <v>21</v>
      </c>
      <c r="I17" t="s">
        <v>29</v>
      </c>
      <c r="J17" t="s">
        <v>30</v>
      </c>
      <c r="K17" t="s">
        <v>31</v>
      </c>
      <c r="L17" t="s">
        <v>25</v>
      </c>
      <c r="M17" t="s">
        <v>26</v>
      </c>
      <c r="N17" t="s">
        <v>53</v>
      </c>
      <c r="O17" t="str">
        <f t="shared" si="0"/>
        <v>Mountain-200</v>
      </c>
      <c r="P17" t="str">
        <f>MID(N17,14,6)</f>
        <v>Silver</v>
      </c>
      <c r="Q17" t="str">
        <f t="shared" si="1"/>
        <v>38</v>
      </c>
      <c r="R17">
        <v>1</v>
      </c>
      <c r="T17" s="2">
        <v>1266</v>
      </c>
      <c r="U17" s="2">
        <v>2320</v>
      </c>
      <c r="V17" s="2">
        <v>1054</v>
      </c>
      <c r="W17" s="2">
        <v>1266</v>
      </c>
      <c r="X17" s="2">
        <v>2320</v>
      </c>
      <c r="Y17" t="s">
        <v>62</v>
      </c>
    </row>
    <row r="18" spans="1:25" x14ac:dyDescent="0.25">
      <c r="A18">
        <v>261711</v>
      </c>
      <c r="B18">
        <v>1</v>
      </c>
      <c r="C18" s="1">
        <v>44537</v>
      </c>
      <c r="D18">
        <v>7</v>
      </c>
      <c r="E18" t="s">
        <v>20</v>
      </c>
      <c r="F18">
        <v>2021</v>
      </c>
      <c r="G18">
        <v>30</v>
      </c>
      <c r="H18" t="s">
        <v>36</v>
      </c>
      <c r="I18" t="s">
        <v>29</v>
      </c>
      <c r="J18" t="s">
        <v>23</v>
      </c>
      <c r="K18" t="s">
        <v>24</v>
      </c>
      <c r="L18" t="s">
        <v>25</v>
      </c>
      <c r="M18" t="s">
        <v>26</v>
      </c>
      <c r="N18" t="s">
        <v>63</v>
      </c>
      <c r="O18" t="str">
        <f t="shared" si="0"/>
        <v>Mountain-400</v>
      </c>
      <c r="P18" t="str">
        <f>MID(N18,14,8)</f>
        <v>W Silver</v>
      </c>
      <c r="Q18" t="str">
        <f t="shared" si="1"/>
        <v>38</v>
      </c>
      <c r="R18">
        <v>4</v>
      </c>
      <c r="T18" s="2">
        <v>420</v>
      </c>
      <c r="U18" s="2">
        <v>769</v>
      </c>
      <c r="V18" s="2">
        <v>1396</v>
      </c>
      <c r="W18" s="2">
        <v>1680</v>
      </c>
      <c r="X18" s="2">
        <v>3076</v>
      </c>
      <c r="Y18" t="s">
        <v>64</v>
      </c>
    </row>
    <row r="19" spans="1:25" x14ac:dyDescent="0.25">
      <c r="A19">
        <v>261712</v>
      </c>
      <c r="B19">
        <v>1</v>
      </c>
      <c r="C19" s="1">
        <v>44537</v>
      </c>
      <c r="D19">
        <v>7</v>
      </c>
      <c r="E19" t="s">
        <v>20</v>
      </c>
      <c r="F19">
        <v>2021</v>
      </c>
      <c r="G19">
        <v>38</v>
      </c>
      <c r="H19" t="s">
        <v>21</v>
      </c>
      <c r="I19" t="s">
        <v>29</v>
      </c>
      <c r="J19" t="s">
        <v>23</v>
      </c>
      <c r="K19" t="s">
        <v>24</v>
      </c>
      <c r="L19" t="s">
        <v>25</v>
      </c>
      <c r="M19" t="s">
        <v>26</v>
      </c>
      <c r="N19" t="s">
        <v>32</v>
      </c>
      <c r="O19" t="str">
        <f t="shared" si="0"/>
        <v>Mountain-200</v>
      </c>
      <c r="P19" t="str">
        <f t="shared" ref="P19:P21" si="3">MID(N19,14,6)</f>
        <v>Silver</v>
      </c>
      <c r="Q19" t="str">
        <f t="shared" si="1"/>
        <v>42</v>
      </c>
      <c r="R19">
        <v>2</v>
      </c>
      <c r="T19" s="2">
        <v>1266</v>
      </c>
      <c r="U19" s="2">
        <v>2320</v>
      </c>
      <c r="V19" s="2">
        <v>2108</v>
      </c>
      <c r="W19" s="2">
        <v>2532</v>
      </c>
      <c r="X19" s="2">
        <v>4640</v>
      </c>
      <c r="Y19" t="s">
        <v>65</v>
      </c>
    </row>
    <row r="20" spans="1:25" x14ac:dyDescent="0.25">
      <c r="A20">
        <v>261713</v>
      </c>
      <c r="B20">
        <v>1</v>
      </c>
      <c r="C20" s="1">
        <v>44538</v>
      </c>
      <c r="D20">
        <v>8</v>
      </c>
      <c r="E20" t="s">
        <v>20</v>
      </c>
      <c r="F20">
        <v>2021</v>
      </c>
      <c r="G20">
        <v>19</v>
      </c>
      <c r="H20" t="s">
        <v>42</v>
      </c>
      <c r="I20" t="s">
        <v>22</v>
      </c>
      <c r="J20" t="s">
        <v>37</v>
      </c>
      <c r="K20" t="s">
        <v>38</v>
      </c>
      <c r="L20" t="s">
        <v>25</v>
      </c>
      <c r="M20" t="s">
        <v>26</v>
      </c>
      <c r="N20" t="s">
        <v>66</v>
      </c>
      <c r="O20" t="str">
        <f t="shared" si="0"/>
        <v>Mountain-500</v>
      </c>
      <c r="P20" t="str">
        <f t="shared" si="3"/>
        <v>Silver</v>
      </c>
      <c r="Q20" t="str">
        <f t="shared" si="1"/>
        <v>42</v>
      </c>
      <c r="R20">
        <v>4</v>
      </c>
      <c r="T20" s="2">
        <v>308</v>
      </c>
      <c r="U20" s="2">
        <v>565</v>
      </c>
      <c r="V20" s="2">
        <v>1028</v>
      </c>
      <c r="W20" s="2">
        <v>1232</v>
      </c>
      <c r="X20" s="2">
        <v>2260</v>
      </c>
      <c r="Y20" t="s">
        <v>67</v>
      </c>
    </row>
    <row r="21" spans="1:25" x14ac:dyDescent="0.25">
      <c r="A21">
        <v>261714</v>
      </c>
      <c r="B21">
        <v>1</v>
      </c>
      <c r="C21" s="1">
        <v>44538</v>
      </c>
      <c r="D21">
        <v>8</v>
      </c>
      <c r="E21" t="s">
        <v>20</v>
      </c>
      <c r="F21">
        <v>2021</v>
      </c>
      <c r="G21">
        <v>30</v>
      </c>
      <c r="H21" t="s">
        <v>36</v>
      </c>
      <c r="I21" t="s">
        <v>22</v>
      </c>
      <c r="J21" t="s">
        <v>57</v>
      </c>
      <c r="K21" t="s">
        <v>58</v>
      </c>
      <c r="L21" t="s">
        <v>25</v>
      </c>
      <c r="M21" t="s">
        <v>26</v>
      </c>
      <c r="N21" t="s">
        <v>53</v>
      </c>
      <c r="O21" t="str">
        <f t="shared" si="0"/>
        <v>Mountain-200</v>
      </c>
      <c r="P21" t="str">
        <f t="shared" si="3"/>
        <v>Silver</v>
      </c>
      <c r="Q21" t="str">
        <f t="shared" si="1"/>
        <v>38</v>
      </c>
      <c r="R21">
        <v>4</v>
      </c>
      <c r="T21" s="2">
        <v>1266</v>
      </c>
      <c r="U21" s="2">
        <v>2320</v>
      </c>
      <c r="V21" s="2">
        <v>4216</v>
      </c>
      <c r="W21" s="2">
        <v>5064</v>
      </c>
      <c r="X21" s="2">
        <v>9280</v>
      </c>
      <c r="Y21" t="s">
        <v>68</v>
      </c>
    </row>
    <row r="22" spans="1:25" x14ac:dyDescent="0.25">
      <c r="A22">
        <v>261715</v>
      </c>
      <c r="B22">
        <v>1</v>
      </c>
      <c r="C22" s="1">
        <v>44538</v>
      </c>
      <c r="D22">
        <v>8</v>
      </c>
      <c r="E22" t="s">
        <v>20</v>
      </c>
      <c r="F22">
        <v>2021</v>
      </c>
      <c r="G22">
        <v>39</v>
      </c>
      <c r="H22" t="s">
        <v>21</v>
      </c>
      <c r="I22" t="s">
        <v>22</v>
      </c>
      <c r="J22" t="s">
        <v>23</v>
      </c>
      <c r="K22" t="s">
        <v>69</v>
      </c>
      <c r="L22" t="s">
        <v>25</v>
      </c>
      <c r="M22" t="s">
        <v>26</v>
      </c>
      <c r="N22" t="s">
        <v>60</v>
      </c>
      <c r="O22" t="str">
        <f t="shared" si="0"/>
        <v>Mountain-200</v>
      </c>
      <c r="P22" t="str">
        <f t="shared" si="2"/>
        <v>Black</v>
      </c>
      <c r="Q22" t="str">
        <f t="shared" si="1"/>
        <v>42</v>
      </c>
      <c r="R22">
        <v>2</v>
      </c>
      <c r="T22" s="2">
        <v>1252</v>
      </c>
      <c r="U22" s="2">
        <v>2295</v>
      </c>
      <c r="V22" s="2">
        <v>2086</v>
      </c>
      <c r="W22" s="2">
        <v>2504</v>
      </c>
      <c r="X22" s="2">
        <v>4590</v>
      </c>
      <c r="Y22" t="s">
        <v>70</v>
      </c>
    </row>
    <row r="23" spans="1:25" x14ac:dyDescent="0.25">
      <c r="A23">
        <v>261716</v>
      </c>
      <c r="B23">
        <v>1</v>
      </c>
      <c r="C23" s="1">
        <v>44538</v>
      </c>
      <c r="D23">
        <v>8</v>
      </c>
      <c r="E23" t="s">
        <v>20</v>
      </c>
      <c r="F23">
        <v>2021</v>
      </c>
      <c r="G23">
        <v>35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 t="s">
        <v>26</v>
      </c>
      <c r="N23" t="s">
        <v>71</v>
      </c>
      <c r="O23" t="str">
        <f t="shared" si="0"/>
        <v>Mountain-500</v>
      </c>
      <c r="P23" t="str">
        <f t="shared" si="2"/>
        <v>Black</v>
      </c>
      <c r="Q23" t="str">
        <f t="shared" si="1"/>
        <v>42</v>
      </c>
      <c r="R23">
        <v>1</v>
      </c>
      <c r="T23" s="2">
        <v>295</v>
      </c>
      <c r="U23" s="2">
        <v>540</v>
      </c>
      <c r="V23" s="2">
        <v>245</v>
      </c>
      <c r="W23" s="2">
        <v>295</v>
      </c>
      <c r="X23" s="2">
        <v>540</v>
      </c>
      <c r="Y23" t="s">
        <v>72</v>
      </c>
    </row>
    <row r="24" spans="1:25" x14ac:dyDescent="0.25">
      <c r="A24">
        <v>261717</v>
      </c>
      <c r="B24">
        <v>1</v>
      </c>
      <c r="C24" s="1">
        <v>44539</v>
      </c>
      <c r="D24">
        <v>9</v>
      </c>
      <c r="E24" t="s">
        <v>20</v>
      </c>
      <c r="F24">
        <v>2021</v>
      </c>
      <c r="G24">
        <v>33</v>
      </c>
      <c r="H24" t="s">
        <v>36</v>
      </c>
      <c r="I24" t="s">
        <v>22</v>
      </c>
      <c r="J24" t="s">
        <v>37</v>
      </c>
      <c r="K24" t="s">
        <v>73</v>
      </c>
      <c r="L24" t="s">
        <v>25</v>
      </c>
      <c r="M24" t="s">
        <v>26</v>
      </c>
      <c r="N24" t="s">
        <v>74</v>
      </c>
      <c r="O24" t="str">
        <f t="shared" si="0"/>
        <v>Mountain-100</v>
      </c>
      <c r="P24" t="str">
        <f t="shared" si="2"/>
        <v>Black</v>
      </c>
      <c r="Q24" t="str">
        <f t="shared" si="1"/>
        <v>38</v>
      </c>
      <c r="R24">
        <v>2</v>
      </c>
      <c r="T24" s="2">
        <v>1898</v>
      </c>
      <c r="U24" s="2">
        <v>3375</v>
      </c>
      <c r="V24" s="2">
        <v>2954</v>
      </c>
      <c r="W24" s="2">
        <v>3796</v>
      </c>
      <c r="X24" s="2">
        <v>6750</v>
      </c>
      <c r="Y24" t="s">
        <v>75</v>
      </c>
    </row>
    <row r="25" spans="1:25" x14ac:dyDescent="0.25">
      <c r="A25">
        <v>261718</v>
      </c>
      <c r="B25">
        <v>1</v>
      </c>
      <c r="C25" s="1">
        <v>44539</v>
      </c>
      <c r="D25">
        <v>9</v>
      </c>
      <c r="E25" t="s">
        <v>20</v>
      </c>
      <c r="F25">
        <v>2021</v>
      </c>
      <c r="G25">
        <v>41</v>
      </c>
      <c r="H25" t="s">
        <v>21</v>
      </c>
      <c r="I25" t="s">
        <v>22</v>
      </c>
      <c r="J25" t="s">
        <v>49</v>
      </c>
      <c r="K25" t="s">
        <v>76</v>
      </c>
      <c r="L25" t="s">
        <v>25</v>
      </c>
      <c r="M25" t="s">
        <v>26</v>
      </c>
      <c r="N25" t="s">
        <v>32</v>
      </c>
      <c r="O25" t="str">
        <f t="shared" si="0"/>
        <v>Mountain-200</v>
      </c>
      <c r="P25" t="str">
        <f>MID(N25,14,6)</f>
        <v>Silver</v>
      </c>
      <c r="Q25" t="str">
        <f t="shared" si="1"/>
        <v>42</v>
      </c>
      <c r="R25">
        <v>1</v>
      </c>
      <c r="T25" s="2">
        <v>1266</v>
      </c>
      <c r="U25" s="2">
        <v>2320</v>
      </c>
      <c r="V25" s="2">
        <v>1054</v>
      </c>
      <c r="W25" s="2">
        <v>1266</v>
      </c>
      <c r="X25" s="2">
        <v>2320</v>
      </c>
      <c r="Y25" t="s">
        <v>77</v>
      </c>
    </row>
    <row r="26" spans="1:25" x14ac:dyDescent="0.25">
      <c r="A26">
        <v>261719</v>
      </c>
      <c r="B26">
        <v>1</v>
      </c>
      <c r="C26" s="1">
        <v>44540</v>
      </c>
      <c r="D26">
        <v>10</v>
      </c>
      <c r="E26" t="s">
        <v>20</v>
      </c>
      <c r="F26">
        <v>2021</v>
      </c>
      <c r="G26">
        <v>34</v>
      </c>
      <c r="H26" t="s">
        <v>36</v>
      </c>
      <c r="I26" t="s">
        <v>22</v>
      </c>
      <c r="J26" t="s">
        <v>23</v>
      </c>
      <c r="K26" t="s">
        <v>24</v>
      </c>
      <c r="L26" t="s">
        <v>25</v>
      </c>
      <c r="M26" t="s">
        <v>26</v>
      </c>
      <c r="N26" t="s">
        <v>60</v>
      </c>
      <c r="O26" t="str">
        <f t="shared" si="0"/>
        <v>Mountain-200</v>
      </c>
      <c r="P26" t="str">
        <f t="shared" si="2"/>
        <v>Black</v>
      </c>
      <c r="Q26" t="str">
        <f t="shared" si="1"/>
        <v>42</v>
      </c>
      <c r="R26">
        <v>2</v>
      </c>
      <c r="T26" s="2">
        <v>1252</v>
      </c>
      <c r="U26" s="2">
        <v>2295</v>
      </c>
      <c r="V26" s="2">
        <v>2086</v>
      </c>
      <c r="W26" s="2">
        <v>2504</v>
      </c>
      <c r="X26" s="2">
        <v>4590</v>
      </c>
      <c r="Y26" t="s">
        <v>78</v>
      </c>
    </row>
    <row r="27" spans="1:25" x14ac:dyDescent="0.25">
      <c r="A27">
        <v>261720</v>
      </c>
      <c r="B27">
        <v>1</v>
      </c>
      <c r="C27" s="1">
        <v>44540</v>
      </c>
      <c r="D27">
        <v>10</v>
      </c>
      <c r="E27" t="s">
        <v>20</v>
      </c>
      <c r="F27">
        <v>2021</v>
      </c>
      <c r="G27">
        <v>40</v>
      </c>
      <c r="H27" t="s">
        <v>21</v>
      </c>
      <c r="I27" t="s">
        <v>29</v>
      </c>
      <c r="J27" t="s">
        <v>37</v>
      </c>
      <c r="K27" t="s">
        <v>38</v>
      </c>
      <c r="L27" t="s">
        <v>25</v>
      </c>
      <c r="M27" t="s">
        <v>26</v>
      </c>
      <c r="N27" t="s">
        <v>60</v>
      </c>
      <c r="O27" t="str">
        <f t="shared" si="0"/>
        <v>Mountain-200</v>
      </c>
      <c r="P27" t="str">
        <f t="shared" si="2"/>
        <v>Black</v>
      </c>
      <c r="Q27" t="str">
        <f t="shared" si="1"/>
        <v>42</v>
      </c>
      <c r="R27">
        <v>2</v>
      </c>
      <c r="T27" s="2">
        <v>1252</v>
      </c>
      <c r="U27" s="2">
        <v>2295</v>
      </c>
      <c r="V27" s="2">
        <v>2086</v>
      </c>
      <c r="W27" s="2">
        <v>2504</v>
      </c>
      <c r="X27" s="2">
        <v>4590</v>
      </c>
      <c r="Y27" t="s">
        <v>79</v>
      </c>
    </row>
    <row r="28" spans="1:25" x14ac:dyDescent="0.25">
      <c r="A28">
        <v>261721</v>
      </c>
      <c r="B28">
        <v>1</v>
      </c>
      <c r="C28" s="1">
        <v>44540</v>
      </c>
      <c r="D28">
        <v>10</v>
      </c>
      <c r="E28" t="s">
        <v>20</v>
      </c>
      <c r="F28">
        <v>2021</v>
      </c>
      <c r="G28">
        <v>26</v>
      </c>
      <c r="H28" t="s">
        <v>36</v>
      </c>
      <c r="I28" t="s">
        <v>29</v>
      </c>
      <c r="J28" t="s">
        <v>30</v>
      </c>
      <c r="K28" t="s">
        <v>31</v>
      </c>
      <c r="L28" t="s">
        <v>25</v>
      </c>
      <c r="M28" t="s">
        <v>26</v>
      </c>
      <c r="N28" t="s">
        <v>43</v>
      </c>
      <c r="O28" t="str">
        <f t="shared" si="0"/>
        <v>Mountain-200</v>
      </c>
      <c r="P28" t="str">
        <f t="shared" si="2"/>
        <v>Black</v>
      </c>
      <c r="Q28" t="str">
        <f t="shared" si="1"/>
        <v>38</v>
      </c>
      <c r="R28">
        <v>1</v>
      </c>
      <c r="T28" s="2">
        <v>1252</v>
      </c>
      <c r="U28" s="2">
        <v>2295</v>
      </c>
      <c r="V28" s="2">
        <v>1043</v>
      </c>
      <c r="W28" s="2">
        <v>1252</v>
      </c>
      <c r="X28" s="2">
        <v>2295</v>
      </c>
      <c r="Y28" t="s">
        <v>80</v>
      </c>
    </row>
    <row r="29" spans="1:25" x14ac:dyDescent="0.25">
      <c r="A29">
        <v>261722</v>
      </c>
      <c r="B29">
        <v>1</v>
      </c>
      <c r="C29" s="1">
        <v>44540</v>
      </c>
      <c r="D29">
        <v>10</v>
      </c>
      <c r="E29" t="s">
        <v>20</v>
      </c>
      <c r="F29">
        <v>2021</v>
      </c>
      <c r="G29">
        <v>34</v>
      </c>
      <c r="H29" t="s">
        <v>36</v>
      </c>
      <c r="I29" t="s">
        <v>29</v>
      </c>
      <c r="J29" t="s">
        <v>23</v>
      </c>
      <c r="K29" t="s">
        <v>24</v>
      </c>
      <c r="L29" t="s">
        <v>25</v>
      </c>
      <c r="M29" t="s">
        <v>26</v>
      </c>
      <c r="N29" t="s">
        <v>81</v>
      </c>
      <c r="O29" t="str">
        <f t="shared" si="0"/>
        <v>Mountain-500</v>
      </c>
      <c r="P29" t="str">
        <f t="shared" si="2"/>
        <v>Black</v>
      </c>
      <c r="Q29" t="str">
        <f t="shared" si="1"/>
        <v>40</v>
      </c>
      <c r="R29">
        <v>1</v>
      </c>
      <c r="T29" s="2">
        <v>295</v>
      </c>
      <c r="U29" s="2">
        <v>540</v>
      </c>
      <c r="V29" s="2">
        <v>245</v>
      </c>
      <c r="W29" s="2">
        <v>295</v>
      </c>
      <c r="X29" s="2">
        <v>540</v>
      </c>
      <c r="Y29" t="s">
        <v>82</v>
      </c>
    </row>
    <row r="30" spans="1:25" x14ac:dyDescent="0.25">
      <c r="A30">
        <v>261723</v>
      </c>
      <c r="B30">
        <v>1</v>
      </c>
      <c r="C30" s="1">
        <v>44540</v>
      </c>
      <c r="D30">
        <v>10</v>
      </c>
      <c r="E30" t="s">
        <v>20</v>
      </c>
      <c r="F30">
        <v>2021</v>
      </c>
      <c r="G30">
        <v>34</v>
      </c>
      <c r="H30" t="s">
        <v>36</v>
      </c>
      <c r="I30" t="s">
        <v>22</v>
      </c>
      <c r="J30" t="s">
        <v>23</v>
      </c>
      <c r="K30" t="s">
        <v>45</v>
      </c>
      <c r="L30" t="s">
        <v>25</v>
      </c>
      <c r="M30" t="s">
        <v>26</v>
      </c>
      <c r="N30" t="s">
        <v>83</v>
      </c>
      <c r="O30" t="str">
        <f t="shared" si="0"/>
        <v>Mountain-100</v>
      </c>
      <c r="P30" t="str">
        <f>MID(N30,14,6)</f>
        <v>Silver</v>
      </c>
      <c r="Q30" t="str">
        <f t="shared" si="1"/>
        <v>44</v>
      </c>
      <c r="R30">
        <v>1</v>
      </c>
      <c r="T30" s="2">
        <v>1912</v>
      </c>
      <c r="U30" s="2">
        <v>3400</v>
      </c>
      <c r="V30" s="2">
        <v>1488</v>
      </c>
      <c r="W30" s="2">
        <v>1912</v>
      </c>
      <c r="X30" s="2">
        <v>3400</v>
      </c>
      <c r="Y30" t="s">
        <v>84</v>
      </c>
    </row>
    <row r="31" spans="1:25" x14ac:dyDescent="0.25">
      <c r="A31">
        <v>261724</v>
      </c>
      <c r="B31">
        <v>1</v>
      </c>
      <c r="C31" s="1">
        <v>44540</v>
      </c>
      <c r="D31">
        <v>10</v>
      </c>
      <c r="E31" t="s">
        <v>20</v>
      </c>
      <c r="F31">
        <v>2021</v>
      </c>
      <c r="G31">
        <v>38</v>
      </c>
      <c r="H31" t="s">
        <v>21</v>
      </c>
      <c r="I31" t="s">
        <v>29</v>
      </c>
      <c r="J31" t="s">
        <v>37</v>
      </c>
      <c r="K31" t="s">
        <v>38</v>
      </c>
      <c r="L31" t="s">
        <v>25</v>
      </c>
      <c r="M31" t="s">
        <v>26</v>
      </c>
      <c r="N31" t="s">
        <v>43</v>
      </c>
      <c r="O31" t="str">
        <f t="shared" si="0"/>
        <v>Mountain-200</v>
      </c>
      <c r="P31" t="str">
        <f t="shared" si="2"/>
        <v>Black</v>
      </c>
      <c r="Q31" t="str">
        <f t="shared" si="1"/>
        <v>38</v>
      </c>
      <c r="R31">
        <v>1</v>
      </c>
      <c r="T31" s="2">
        <v>1252</v>
      </c>
      <c r="U31" s="2">
        <v>2295</v>
      </c>
      <c r="V31" s="2">
        <v>1043</v>
      </c>
      <c r="W31" s="2">
        <v>1252</v>
      </c>
      <c r="X31" s="2">
        <v>2295</v>
      </c>
      <c r="Y31" t="s">
        <v>85</v>
      </c>
    </row>
    <row r="32" spans="1:25" x14ac:dyDescent="0.25">
      <c r="A32">
        <v>261725</v>
      </c>
      <c r="B32">
        <v>1</v>
      </c>
      <c r="C32" s="1">
        <v>44541</v>
      </c>
      <c r="D32">
        <v>11</v>
      </c>
      <c r="E32" t="s">
        <v>20</v>
      </c>
      <c r="F32">
        <v>2021</v>
      </c>
      <c r="G32">
        <v>24</v>
      </c>
      <c r="H32" t="s">
        <v>42</v>
      </c>
      <c r="I32" t="s">
        <v>22</v>
      </c>
      <c r="J32" t="s">
        <v>86</v>
      </c>
      <c r="K32" t="s">
        <v>87</v>
      </c>
      <c r="L32" t="s">
        <v>25</v>
      </c>
      <c r="M32" t="s">
        <v>26</v>
      </c>
      <c r="N32" t="s">
        <v>43</v>
      </c>
      <c r="O32" t="str">
        <f t="shared" si="0"/>
        <v>Mountain-200</v>
      </c>
      <c r="P32" t="str">
        <f t="shared" si="2"/>
        <v>Black</v>
      </c>
      <c r="Q32" t="str">
        <f t="shared" si="1"/>
        <v>38</v>
      </c>
      <c r="R32">
        <v>3</v>
      </c>
      <c r="T32" s="2">
        <v>1252</v>
      </c>
      <c r="U32" s="2">
        <v>2295</v>
      </c>
      <c r="V32" s="2">
        <v>3129</v>
      </c>
      <c r="W32" s="2">
        <v>3756</v>
      </c>
      <c r="X32" s="2">
        <v>6885</v>
      </c>
      <c r="Y32" t="s">
        <v>88</v>
      </c>
    </row>
    <row r="33" spans="1:25" x14ac:dyDescent="0.25">
      <c r="A33">
        <v>261726</v>
      </c>
      <c r="B33">
        <v>1</v>
      </c>
      <c r="C33" s="1">
        <v>44541</v>
      </c>
      <c r="D33">
        <v>11</v>
      </c>
      <c r="E33" t="s">
        <v>20</v>
      </c>
      <c r="F33">
        <v>2021</v>
      </c>
      <c r="G33">
        <v>41</v>
      </c>
      <c r="H33" t="s">
        <v>21</v>
      </c>
      <c r="I33" t="s">
        <v>22</v>
      </c>
      <c r="J33" t="s">
        <v>37</v>
      </c>
      <c r="K33" t="s">
        <v>38</v>
      </c>
      <c r="L33" t="s">
        <v>25</v>
      </c>
      <c r="M33" t="s">
        <v>26</v>
      </c>
      <c r="N33" t="s">
        <v>63</v>
      </c>
      <c r="O33" t="str">
        <f t="shared" si="0"/>
        <v>Mountain-400</v>
      </c>
      <c r="P33" t="str">
        <f>MID(N33,14,8)</f>
        <v>W Silver</v>
      </c>
      <c r="Q33" t="str">
        <f t="shared" si="1"/>
        <v>38</v>
      </c>
      <c r="R33">
        <v>2</v>
      </c>
      <c r="T33" s="2">
        <v>420</v>
      </c>
      <c r="U33" s="2">
        <v>769</v>
      </c>
      <c r="V33" s="2">
        <v>698</v>
      </c>
      <c r="W33" s="2">
        <v>840</v>
      </c>
      <c r="X33" s="2">
        <v>1538</v>
      </c>
      <c r="Y33" t="s">
        <v>89</v>
      </c>
    </row>
    <row r="34" spans="1:25" x14ac:dyDescent="0.25">
      <c r="A34">
        <v>261727</v>
      </c>
      <c r="B34">
        <v>1</v>
      </c>
      <c r="C34" s="1">
        <v>44541</v>
      </c>
      <c r="D34">
        <v>11</v>
      </c>
      <c r="E34" t="s">
        <v>20</v>
      </c>
      <c r="F34">
        <v>2021</v>
      </c>
      <c r="G34">
        <v>27</v>
      </c>
      <c r="H34" t="s">
        <v>36</v>
      </c>
      <c r="I34" t="s">
        <v>29</v>
      </c>
      <c r="J34" t="s">
        <v>57</v>
      </c>
      <c r="K34" t="s">
        <v>58</v>
      </c>
      <c r="L34" t="s">
        <v>25</v>
      </c>
      <c r="M34" t="s">
        <v>26</v>
      </c>
      <c r="N34" t="s">
        <v>27</v>
      </c>
      <c r="O34" t="str">
        <f t="shared" si="0"/>
        <v>Mountain-200</v>
      </c>
      <c r="P34" t="str">
        <f t="shared" si="2"/>
        <v>Black</v>
      </c>
      <c r="Q34" t="str">
        <f t="shared" si="1"/>
        <v>46</v>
      </c>
      <c r="R34">
        <v>1</v>
      </c>
      <c r="T34" s="2">
        <v>1252</v>
      </c>
      <c r="U34" s="2">
        <v>2295</v>
      </c>
      <c r="V34" s="2">
        <v>1043</v>
      </c>
      <c r="W34" s="2">
        <v>1252</v>
      </c>
      <c r="X34" s="2">
        <v>2295</v>
      </c>
      <c r="Y34" t="s">
        <v>90</v>
      </c>
    </row>
    <row r="35" spans="1:25" x14ac:dyDescent="0.25">
      <c r="A35">
        <v>261728</v>
      </c>
      <c r="B35">
        <v>1</v>
      </c>
      <c r="C35" s="1">
        <v>44541</v>
      </c>
      <c r="D35">
        <v>11</v>
      </c>
      <c r="E35" t="s">
        <v>20</v>
      </c>
      <c r="F35">
        <v>2021</v>
      </c>
      <c r="G35">
        <v>37</v>
      </c>
      <c r="H35" t="s">
        <v>21</v>
      </c>
      <c r="I35" t="s">
        <v>29</v>
      </c>
      <c r="J35" t="s">
        <v>23</v>
      </c>
      <c r="K35" t="s">
        <v>24</v>
      </c>
      <c r="L35" t="s">
        <v>25</v>
      </c>
      <c r="M35" t="s">
        <v>26</v>
      </c>
      <c r="N35" t="s">
        <v>34</v>
      </c>
      <c r="O35" t="str">
        <f t="shared" si="0"/>
        <v>Mountain-400</v>
      </c>
      <c r="P35" t="str">
        <f>MID(N35,14,8)</f>
        <v>W Silver</v>
      </c>
      <c r="Q35" t="str">
        <f t="shared" si="1"/>
        <v>46</v>
      </c>
      <c r="R35">
        <v>1</v>
      </c>
      <c r="T35" s="2">
        <v>420</v>
      </c>
      <c r="U35" s="2">
        <v>769</v>
      </c>
      <c r="V35" s="2">
        <v>349</v>
      </c>
      <c r="W35" s="2">
        <v>420</v>
      </c>
      <c r="X35" s="2">
        <v>769</v>
      </c>
      <c r="Y35" t="s">
        <v>91</v>
      </c>
    </row>
    <row r="36" spans="1:25" x14ac:dyDescent="0.25">
      <c r="A36">
        <v>261729</v>
      </c>
      <c r="B36">
        <v>1</v>
      </c>
      <c r="C36" s="1">
        <v>44541</v>
      </c>
      <c r="D36">
        <v>11</v>
      </c>
      <c r="E36" t="s">
        <v>20</v>
      </c>
      <c r="F36">
        <v>2021</v>
      </c>
      <c r="G36">
        <v>38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26</v>
      </c>
      <c r="N36" t="s">
        <v>53</v>
      </c>
      <c r="O36" t="str">
        <f t="shared" si="0"/>
        <v>Mountain-200</v>
      </c>
      <c r="P36" t="str">
        <f t="shared" ref="P36:P37" si="4">MID(N36,14,6)</f>
        <v>Silver</v>
      </c>
      <c r="Q36" t="str">
        <f t="shared" si="1"/>
        <v>38</v>
      </c>
      <c r="R36">
        <v>1</v>
      </c>
      <c r="T36" s="2">
        <v>1266</v>
      </c>
      <c r="U36" s="2">
        <v>2320</v>
      </c>
      <c r="V36" s="2">
        <v>1054</v>
      </c>
      <c r="W36" s="2">
        <v>1266</v>
      </c>
      <c r="X36" s="2">
        <v>2320</v>
      </c>
      <c r="Y36" t="s">
        <v>92</v>
      </c>
    </row>
    <row r="37" spans="1:25" x14ac:dyDescent="0.25">
      <c r="A37">
        <v>261730</v>
      </c>
      <c r="B37">
        <v>1</v>
      </c>
      <c r="C37" s="1">
        <v>44542</v>
      </c>
      <c r="D37">
        <v>12</v>
      </c>
      <c r="E37" t="s">
        <v>20</v>
      </c>
      <c r="F37">
        <v>2021</v>
      </c>
      <c r="G37">
        <v>36</v>
      </c>
      <c r="H37" t="s">
        <v>21</v>
      </c>
      <c r="I37" t="s">
        <v>22</v>
      </c>
      <c r="J37" t="s">
        <v>37</v>
      </c>
      <c r="K37" t="s">
        <v>38</v>
      </c>
      <c r="L37" t="s">
        <v>25</v>
      </c>
      <c r="M37" t="s">
        <v>26</v>
      </c>
      <c r="N37" t="s">
        <v>32</v>
      </c>
      <c r="O37" t="str">
        <f t="shared" si="0"/>
        <v>Mountain-200</v>
      </c>
      <c r="P37" t="str">
        <f t="shared" si="4"/>
        <v>Silver</v>
      </c>
      <c r="Q37" t="str">
        <f t="shared" si="1"/>
        <v>42</v>
      </c>
      <c r="R37">
        <v>4</v>
      </c>
      <c r="T37" s="2">
        <v>1266</v>
      </c>
      <c r="U37" s="2">
        <v>2320</v>
      </c>
      <c r="V37" s="2">
        <v>4216</v>
      </c>
      <c r="W37" s="2">
        <v>5064</v>
      </c>
      <c r="X37" s="2">
        <v>9280</v>
      </c>
      <c r="Y37" t="s">
        <v>93</v>
      </c>
    </row>
    <row r="38" spans="1:25" x14ac:dyDescent="0.25">
      <c r="A38">
        <v>261731</v>
      </c>
      <c r="B38">
        <v>1</v>
      </c>
      <c r="C38" s="1">
        <v>44542</v>
      </c>
      <c r="D38">
        <v>12</v>
      </c>
      <c r="E38" t="s">
        <v>20</v>
      </c>
      <c r="F38">
        <v>2021</v>
      </c>
      <c r="G38">
        <v>37</v>
      </c>
      <c r="H38" t="s">
        <v>21</v>
      </c>
      <c r="I38" t="s">
        <v>29</v>
      </c>
      <c r="J38" t="s">
        <v>23</v>
      </c>
      <c r="K38" t="s">
        <v>24</v>
      </c>
      <c r="L38" t="s">
        <v>25</v>
      </c>
      <c r="M38" t="s">
        <v>26</v>
      </c>
      <c r="N38" t="s">
        <v>34</v>
      </c>
      <c r="O38" t="str">
        <f t="shared" si="0"/>
        <v>Mountain-400</v>
      </c>
      <c r="P38" t="str">
        <f>MID(N38,14,8)</f>
        <v>W Silver</v>
      </c>
      <c r="Q38" t="str">
        <f t="shared" si="1"/>
        <v>46</v>
      </c>
      <c r="R38">
        <v>4</v>
      </c>
      <c r="T38" s="2">
        <v>420</v>
      </c>
      <c r="U38" s="2">
        <v>769</v>
      </c>
      <c r="V38" s="2">
        <v>1396</v>
      </c>
      <c r="W38" s="2">
        <v>1680</v>
      </c>
      <c r="X38" s="2">
        <v>3076</v>
      </c>
      <c r="Y38" t="s">
        <v>94</v>
      </c>
    </row>
    <row r="39" spans="1:25" x14ac:dyDescent="0.25">
      <c r="A39">
        <v>261732</v>
      </c>
      <c r="B39">
        <v>1</v>
      </c>
      <c r="C39" s="1">
        <v>44542</v>
      </c>
      <c r="D39">
        <v>12</v>
      </c>
      <c r="E39" t="s">
        <v>20</v>
      </c>
      <c r="F39">
        <v>2021</v>
      </c>
      <c r="G39">
        <v>34</v>
      </c>
      <c r="H39" t="s">
        <v>36</v>
      </c>
      <c r="I39" t="s">
        <v>29</v>
      </c>
      <c r="J39" t="s">
        <v>37</v>
      </c>
      <c r="K39" t="s">
        <v>38</v>
      </c>
      <c r="L39" t="s">
        <v>25</v>
      </c>
      <c r="M39" t="s">
        <v>26</v>
      </c>
      <c r="N39" t="s">
        <v>43</v>
      </c>
      <c r="O39" t="str">
        <f t="shared" si="0"/>
        <v>Mountain-200</v>
      </c>
      <c r="P39" t="str">
        <f t="shared" si="2"/>
        <v>Black</v>
      </c>
      <c r="Q39" t="str">
        <f t="shared" si="1"/>
        <v>38</v>
      </c>
      <c r="R39">
        <v>2</v>
      </c>
      <c r="T39" s="2">
        <v>1252</v>
      </c>
      <c r="U39" s="2">
        <v>2295</v>
      </c>
      <c r="V39" s="2">
        <v>2086</v>
      </c>
      <c r="W39" s="2">
        <v>2504</v>
      </c>
      <c r="X39" s="2">
        <v>4590</v>
      </c>
      <c r="Y39" t="s">
        <v>95</v>
      </c>
    </row>
    <row r="40" spans="1:25" x14ac:dyDescent="0.25">
      <c r="A40">
        <v>261733</v>
      </c>
      <c r="B40">
        <v>1</v>
      </c>
      <c r="C40" s="1">
        <v>44542</v>
      </c>
      <c r="D40">
        <v>12</v>
      </c>
      <c r="E40" t="s">
        <v>20</v>
      </c>
      <c r="F40">
        <v>2021</v>
      </c>
      <c r="G40">
        <v>35</v>
      </c>
      <c r="H40" t="s">
        <v>21</v>
      </c>
      <c r="I40" t="s">
        <v>22</v>
      </c>
      <c r="J40" t="s">
        <v>37</v>
      </c>
      <c r="K40" t="s">
        <v>73</v>
      </c>
      <c r="L40" t="s">
        <v>25</v>
      </c>
      <c r="M40" t="s">
        <v>26</v>
      </c>
      <c r="N40" t="s">
        <v>32</v>
      </c>
      <c r="O40" t="str">
        <f t="shared" si="0"/>
        <v>Mountain-200</v>
      </c>
      <c r="P40" t="str">
        <f t="shared" ref="P40:P43" si="5">MID(N40,14,6)</f>
        <v>Silver</v>
      </c>
      <c r="Q40" t="str">
        <f t="shared" si="1"/>
        <v>42</v>
      </c>
      <c r="R40">
        <v>1</v>
      </c>
      <c r="T40" s="2">
        <v>1266</v>
      </c>
      <c r="U40" s="2">
        <v>2320</v>
      </c>
      <c r="V40" s="2">
        <v>1054</v>
      </c>
      <c r="W40" s="2">
        <v>1266</v>
      </c>
      <c r="X40" s="2">
        <v>2320</v>
      </c>
      <c r="Y40" t="s">
        <v>96</v>
      </c>
    </row>
    <row r="41" spans="1:25" x14ac:dyDescent="0.25">
      <c r="A41">
        <v>261734</v>
      </c>
      <c r="B41">
        <v>1</v>
      </c>
      <c r="C41" s="1">
        <v>44542</v>
      </c>
      <c r="D41">
        <v>12</v>
      </c>
      <c r="E41" t="s">
        <v>20</v>
      </c>
      <c r="F41">
        <v>2021</v>
      </c>
      <c r="G41">
        <v>38</v>
      </c>
      <c r="H41" t="s">
        <v>21</v>
      </c>
      <c r="I41" t="s">
        <v>22</v>
      </c>
      <c r="J41" t="s">
        <v>23</v>
      </c>
      <c r="K41" t="s">
        <v>45</v>
      </c>
      <c r="L41" t="s">
        <v>25</v>
      </c>
      <c r="M41" t="s">
        <v>26</v>
      </c>
      <c r="N41" t="s">
        <v>32</v>
      </c>
      <c r="O41" t="str">
        <f t="shared" si="0"/>
        <v>Mountain-200</v>
      </c>
      <c r="P41" t="str">
        <f t="shared" si="5"/>
        <v>Silver</v>
      </c>
      <c r="Q41" t="str">
        <f t="shared" si="1"/>
        <v>42</v>
      </c>
      <c r="R41">
        <v>1</v>
      </c>
      <c r="T41" s="2">
        <v>1266</v>
      </c>
      <c r="U41" s="2">
        <v>2320</v>
      </c>
      <c r="V41" s="2">
        <v>1054</v>
      </c>
      <c r="W41" s="2">
        <v>1266</v>
      </c>
      <c r="X41" s="2">
        <v>2320</v>
      </c>
      <c r="Y41" t="s">
        <v>97</v>
      </c>
    </row>
    <row r="42" spans="1:25" x14ac:dyDescent="0.25">
      <c r="A42">
        <v>261735</v>
      </c>
      <c r="B42">
        <v>1</v>
      </c>
      <c r="C42" s="1">
        <v>44543</v>
      </c>
      <c r="D42">
        <v>13</v>
      </c>
      <c r="E42" t="s">
        <v>20</v>
      </c>
      <c r="F42">
        <v>2021</v>
      </c>
      <c r="G42">
        <v>32</v>
      </c>
      <c r="H42" t="s">
        <v>36</v>
      </c>
      <c r="I42" t="s">
        <v>22</v>
      </c>
      <c r="J42" t="s">
        <v>37</v>
      </c>
      <c r="K42" t="s">
        <v>52</v>
      </c>
      <c r="L42" t="s">
        <v>25</v>
      </c>
      <c r="M42" t="s">
        <v>26</v>
      </c>
      <c r="N42" t="s">
        <v>32</v>
      </c>
      <c r="O42" t="str">
        <f t="shared" si="0"/>
        <v>Mountain-200</v>
      </c>
      <c r="P42" t="str">
        <f t="shared" si="5"/>
        <v>Silver</v>
      </c>
      <c r="Q42" t="str">
        <f t="shared" si="1"/>
        <v>42</v>
      </c>
      <c r="R42">
        <v>3</v>
      </c>
      <c r="T42" s="2">
        <v>1266</v>
      </c>
      <c r="U42" s="2">
        <v>2320</v>
      </c>
      <c r="V42" s="2">
        <v>3162</v>
      </c>
      <c r="W42" s="2">
        <v>3798</v>
      </c>
      <c r="X42" s="2">
        <v>6960</v>
      </c>
      <c r="Y42" t="s">
        <v>98</v>
      </c>
    </row>
    <row r="43" spans="1:25" x14ac:dyDescent="0.25">
      <c r="A43">
        <v>261736</v>
      </c>
      <c r="B43">
        <v>1</v>
      </c>
      <c r="C43" s="1">
        <v>44543</v>
      </c>
      <c r="D43">
        <v>13</v>
      </c>
      <c r="E43" t="s">
        <v>20</v>
      </c>
      <c r="F43">
        <v>2021</v>
      </c>
      <c r="G43">
        <v>40</v>
      </c>
      <c r="H43" t="s">
        <v>21</v>
      </c>
      <c r="I43" t="s">
        <v>22</v>
      </c>
      <c r="J43" t="s">
        <v>23</v>
      </c>
      <c r="K43" t="s">
        <v>24</v>
      </c>
      <c r="L43" t="s">
        <v>25</v>
      </c>
      <c r="M43" t="s">
        <v>26</v>
      </c>
      <c r="N43" t="s">
        <v>99</v>
      </c>
      <c r="O43" t="str">
        <f t="shared" si="0"/>
        <v>Mountain-500</v>
      </c>
      <c r="P43" t="str">
        <f t="shared" si="5"/>
        <v>Silver</v>
      </c>
      <c r="Q43" t="str">
        <f t="shared" si="1"/>
        <v>40</v>
      </c>
      <c r="R43">
        <v>1</v>
      </c>
      <c r="T43" s="2">
        <v>308</v>
      </c>
      <c r="U43" s="2">
        <v>565</v>
      </c>
      <c r="V43" s="2">
        <v>257</v>
      </c>
      <c r="W43" s="2">
        <v>308</v>
      </c>
      <c r="X43" s="2">
        <v>565</v>
      </c>
      <c r="Y43" t="s">
        <v>100</v>
      </c>
    </row>
    <row r="44" spans="1:25" x14ac:dyDescent="0.25">
      <c r="A44">
        <v>261737</v>
      </c>
      <c r="B44">
        <v>1</v>
      </c>
      <c r="C44" s="1">
        <v>44543</v>
      </c>
      <c r="D44">
        <v>13</v>
      </c>
      <c r="E44" t="s">
        <v>20</v>
      </c>
      <c r="F44">
        <v>2021</v>
      </c>
      <c r="G44">
        <v>44</v>
      </c>
      <c r="H44" t="s">
        <v>21</v>
      </c>
      <c r="I44" t="s">
        <v>22</v>
      </c>
      <c r="J44" t="s">
        <v>30</v>
      </c>
      <c r="K44" t="s">
        <v>31</v>
      </c>
      <c r="L44" t="s">
        <v>25</v>
      </c>
      <c r="M44" t="s">
        <v>26</v>
      </c>
      <c r="N44" t="s">
        <v>43</v>
      </c>
      <c r="O44" t="str">
        <f t="shared" si="0"/>
        <v>Mountain-200</v>
      </c>
      <c r="P44" t="str">
        <f t="shared" si="2"/>
        <v>Black</v>
      </c>
      <c r="Q44" t="str">
        <f t="shared" si="1"/>
        <v>38</v>
      </c>
      <c r="R44">
        <v>1</v>
      </c>
      <c r="T44" s="2">
        <v>1252</v>
      </c>
      <c r="U44" s="2">
        <v>2295</v>
      </c>
      <c r="V44" s="2">
        <v>1043</v>
      </c>
      <c r="W44" s="2">
        <v>1252</v>
      </c>
      <c r="X44" s="2">
        <v>2295</v>
      </c>
      <c r="Y44" t="s">
        <v>101</v>
      </c>
    </row>
    <row r="45" spans="1:25" x14ac:dyDescent="0.25">
      <c r="A45">
        <v>261738</v>
      </c>
      <c r="B45">
        <v>1</v>
      </c>
      <c r="C45" s="1">
        <v>44543</v>
      </c>
      <c r="D45">
        <v>13</v>
      </c>
      <c r="E45" t="s">
        <v>20</v>
      </c>
      <c r="F45">
        <v>2021</v>
      </c>
      <c r="G45">
        <v>49</v>
      </c>
      <c r="H45" t="s">
        <v>21</v>
      </c>
      <c r="I45" t="s">
        <v>29</v>
      </c>
      <c r="J45" t="s">
        <v>30</v>
      </c>
      <c r="K45" t="s">
        <v>31</v>
      </c>
      <c r="L45" t="s">
        <v>25</v>
      </c>
      <c r="M45" t="s">
        <v>26</v>
      </c>
      <c r="N45" t="s">
        <v>43</v>
      </c>
      <c r="O45" t="str">
        <f t="shared" si="0"/>
        <v>Mountain-200</v>
      </c>
      <c r="P45" t="str">
        <f t="shared" si="2"/>
        <v>Black</v>
      </c>
      <c r="Q45" t="str">
        <f t="shared" si="1"/>
        <v>38</v>
      </c>
      <c r="R45">
        <v>1</v>
      </c>
      <c r="T45" s="2">
        <v>1252</v>
      </c>
      <c r="U45" s="2">
        <v>2295</v>
      </c>
      <c r="V45" s="2">
        <v>1043</v>
      </c>
      <c r="W45" s="2">
        <v>1252</v>
      </c>
      <c r="X45" s="2">
        <v>2295</v>
      </c>
      <c r="Y45" t="s">
        <v>102</v>
      </c>
    </row>
    <row r="46" spans="1:25" x14ac:dyDescent="0.25">
      <c r="A46">
        <v>261739</v>
      </c>
      <c r="B46">
        <v>1</v>
      </c>
      <c r="C46" s="1">
        <v>44544</v>
      </c>
      <c r="D46">
        <v>14</v>
      </c>
      <c r="E46" t="s">
        <v>20</v>
      </c>
      <c r="F46">
        <v>2021</v>
      </c>
      <c r="G46">
        <v>30</v>
      </c>
      <c r="H46" t="s">
        <v>36</v>
      </c>
      <c r="I46" t="s">
        <v>22</v>
      </c>
      <c r="J46" t="s">
        <v>23</v>
      </c>
      <c r="K46" t="s">
        <v>45</v>
      </c>
      <c r="L46" t="s">
        <v>25</v>
      </c>
      <c r="M46" t="s">
        <v>26</v>
      </c>
      <c r="N46" t="s">
        <v>53</v>
      </c>
      <c r="O46" t="str">
        <f t="shared" si="0"/>
        <v>Mountain-200</v>
      </c>
      <c r="P46" t="str">
        <f>MID(N46,14,6)</f>
        <v>Silver</v>
      </c>
      <c r="Q46" t="str">
        <f t="shared" si="1"/>
        <v>38</v>
      </c>
      <c r="R46">
        <v>2</v>
      </c>
      <c r="T46" s="2">
        <v>1266</v>
      </c>
      <c r="U46" s="2">
        <v>2320</v>
      </c>
      <c r="V46" s="2">
        <v>2108</v>
      </c>
      <c r="W46" s="2">
        <v>2532</v>
      </c>
      <c r="X46" s="2">
        <v>4640</v>
      </c>
      <c r="Y46" t="s">
        <v>103</v>
      </c>
    </row>
    <row r="47" spans="1:25" x14ac:dyDescent="0.25">
      <c r="A47">
        <v>261740</v>
      </c>
      <c r="B47">
        <v>1</v>
      </c>
      <c r="C47" s="1">
        <v>44544</v>
      </c>
      <c r="D47">
        <v>14</v>
      </c>
      <c r="E47" t="s">
        <v>20</v>
      </c>
      <c r="F47">
        <v>2021</v>
      </c>
      <c r="G47">
        <v>32</v>
      </c>
      <c r="H47" t="s">
        <v>36</v>
      </c>
      <c r="I47" t="s">
        <v>29</v>
      </c>
      <c r="J47" t="s">
        <v>23</v>
      </c>
      <c r="K47" t="s">
        <v>24</v>
      </c>
      <c r="L47" t="s">
        <v>25</v>
      </c>
      <c r="M47" t="s">
        <v>26</v>
      </c>
      <c r="N47" t="s">
        <v>27</v>
      </c>
      <c r="O47" t="str">
        <f t="shared" si="0"/>
        <v>Mountain-200</v>
      </c>
      <c r="P47" t="str">
        <f t="shared" si="2"/>
        <v>Black</v>
      </c>
      <c r="Q47" t="str">
        <f t="shared" si="1"/>
        <v>46</v>
      </c>
      <c r="R47">
        <v>1</v>
      </c>
      <c r="T47" s="2">
        <v>1252</v>
      </c>
      <c r="U47" s="2">
        <v>2295</v>
      </c>
      <c r="V47" s="2">
        <v>1043</v>
      </c>
      <c r="W47" s="2">
        <v>1252</v>
      </c>
      <c r="X47" s="2">
        <v>2295</v>
      </c>
      <c r="Y47" t="s">
        <v>104</v>
      </c>
    </row>
    <row r="48" spans="1:25" x14ac:dyDescent="0.25">
      <c r="A48">
        <v>261741</v>
      </c>
      <c r="B48">
        <v>1</v>
      </c>
      <c r="C48" s="1">
        <v>44544</v>
      </c>
      <c r="D48">
        <v>14</v>
      </c>
      <c r="E48" t="s">
        <v>20</v>
      </c>
      <c r="F48">
        <v>2021</v>
      </c>
      <c r="G48">
        <v>32</v>
      </c>
      <c r="H48" t="s">
        <v>36</v>
      </c>
      <c r="I48" t="s">
        <v>22</v>
      </c>
      <c r="J48" t="s">
        <v>37</v>
      </c>
      <c r="K48" t="s">
        <v>73</v>
      </c>
      <c r="L48" t="s">
        <v>25</v>
      </c>
      <c r="M48" t="s">
        <v>26</v>
      </c>
      <c r="N48" t="s">
        <v>34</v>
      </c>
      <c r="O48" t="str">
        <f t="shared" si="0"/>
        <v>Mountain-400</v>
      </c>
      <c r="P48" t="str">
        <f>MID(N48,14,8)</f>
        <v>W Silver</v>
      </c>
      <c r="Q48" t="str">
        <f t="shared" si="1"/>
        <v>46</v>
      </c>
      <c r="R48">
        <v>1</v>
      </c>
      <c r="T48" s="2">
        <v>420</v>
      </c>
      <c r="U48" s="2">
        <v>769</v>
      </c>
      <c r="V48" s="2">
        <v>349</v>
      </c>
      <c r="W48" s="2">
        <v>420</v>
      </c>
      <c r="X48" s="2">
        <v>769</v>
      </c>
      <c r="Y48" t="s">
        <v>105</v>
      </c>
    </row>
    <row r="49" spans="1:25" x14ac:dyDescent="0.25">
      <c r="A49">
        <v>261742</v>
      </c>
      <c r="B49">
        <v>1</v>
      </c>
      <c r="C49" s="1">
        <v>44545</v>
      </c>
      <c r="D49">
        <v>15</v>
      </c>
      <c r="E49" t="s">
        <v>20</v>
      </c>
      <c r="F49">
        <v>2021</v>
      </c>
      <c r="G49">
        <v>29</v>
      </c>
      <c r="H49" t="s">
        <v>36</v>
      </c>
      <c r="I49" t="s">
        <v>22</v>
      </c>
      <c r="J49" t="s">
        <v>23</v>
      </c>
      <c r="K49" t="s">
        <v>24</v>
      </c>
      <c r="L49" t="s">
        <v>25</v>
      </c>
      <c r="M49" t="s">
        <v>26</v>
      </c>
      <c r="N49" t="s">
        <v>32</v>
      </c>
      <c r="O49" t="str">
        <f t="shared" si="0"/>
        <v>Mountain-200</v>
      </c>
      <c r="P49" t="str">
        <f>MID(N49,14,6)</f>
        <v>Silver</v>
      </c>
      <c r="Q49" t="str">
        <f t="shared" si="1"/>
        <v>42</v>
      </c>
      <c r="R49">
        <v>1</v>
      </c>
      <c r="T49" s="2">
        <v>1266</v>
      </c>
      <c r="U49" s="2">
        <v>2320</v>
      </c>
      <c r="V49" s="2">
        <v>1054</v>
      </c>
      <c r="W49" s="2">
        <v>1266</v>
      </c>
      <c r="X49" s="2">
        <v>2320</v>
      </c>
      <c r="Y49" t="s">
        <v>106</v>
      </c>
    </row>
    <row r="50" spans="1:25" x14ac:dyDescent="0.25">
      <c r="A50">
        <v>261743</v>
      </c>
      <c r="B50">
        <v>1</v>
      </c>
      <c r="C50" s="1">
        <v>44546</v>
      </c>
      <c r="D50">
        <v>16</v>
      </c>
      <c r="E50" t="s">
        <v>20</v>
      </c>
      <c r="F50">
        <v>2021</v>
      </c>
      <c r="G50">
        <v>33</v>
      </c>
      <c r="H50" t="s">
        <v>36</v>
      </c>
      <c r="I50" t="s">
        <v>22</v>
      </c>
      <c r="J50" t="s">
        <v>37</v>
      </c>
      <c r="K50" t="s">
        <v>38</v>
      </c>
      <c r="L50" t="s">
        <v>25</v>
      </c>
      <c r="M50" t="s">
        <v>26</v>
      </c>
      <c r="N50" t="s">
        <v>43</v>
      </c>
      <c r="O50" t="str">
        <f t="shared" si="0"/>
        <v>Mountain-200</v>
      </c>
      <c r="P50" t="str">
        <f t="shared" si="2"/>
        <v>Black</v>
      </c>
      <c r="Q50" t="str">
        <f t="shared" si="1"/>
        <v>38</v>
      </c>
      <c r="R50">
        <v>2</v>
      </c>
      <c r="T50" s="2">
        <v>1252</v>
      </c>
      <c r="U50" s="2">
        <v>2295</v>
      </c>
      <c r="V50" s="2">
        <v>2086</v>
      </c>
      <c r="W50" s="2">
        <v>2504</v>
      </c>
      <c r="X50" s="2">
        <v>4590</v>
      </c>
      <c r="Y50" t="s">
        <v>107</v>
      </c>
    </row>
    <row r="51" spans="1:25" x14ac:dyDescent="0.25">
      <c r="A51">
        <v>261744</v>
      </c>
      <c r="B51">
        <v>1</v>
      </c>
      <c r="C51" s="1">
        <v>44546</v>
      </c>
      <c r="D51">
        <v>16</v>
      </c>
      <c r="E51" t="s">
        <v>20</v>
      </c>
      <c r="F51">
        <v>2021</v>
      </c>
      <c r="G51">
        <v>38</v>
      </c>
      <c r="H51" t="s">
        <v>21</v>
      </c>
      <c r="I51" t="s">
        <v>29</v>
      </c>
      <c r="J51" t="s">
        <v>37</v>
      </c>
      <c r="K51" t="s">
        <v>38</v>
      </c>
      <c r="L51" t="s">
        <v>25</v>
      </c>
      <c r="M51" t="s">
        <v>26</v>
      </c>
      <c r="N51" t="s">
        <v>43</v>
      </c>
      <c r="O51" t="str">
        <f t="shared" si="0"/>
        <v>Mountain-200</v>
      </c>
      <c r="P51" t="str">
        <f t="shared" si="2"/>
        <v>Black</v>
      </c>
      <c r="Q51" t="str">
        <f t="shared" si="1"/>
        <v>38</v>
      </c>
      <c r="R51">
        <v>2</v>
      </c>
      <c r="T51" s="2">
        <v>1252</v>
      </c>
      <c r="U51" s="2">
        <v>2295</v>
      </c>
      <c r="V51" s="2">
        <v>2086</v>
      </c>
      <c r="W51" s="2">
        <v>2504</v>
      </c>
      <c r="X51" s="2">
        <v>4590</v>
      </c>
      <c r="Y51" t="s">
        <v>108</v>
      </c>
    </row>
    <row r="52" spans="1:25" x14ac:dyDescent="0.25">
      <c r="A52">
        <v>261745</v>
      </c>
      <c r="B52">
        <v>1</v>
      </c>
      <c r="C52" s="1">
        <v>44546</v>
      </c>
      <c r="D52">
        <v>16</v>
      </c>
      <c r="E52" t="s">
        <v>20</v>
      </c>
      <c r="F52">
        <v>2021</v>
      </c>
      <c r="G52">
        <v>27</v>
      </c>
      <c r="H52" t="s">
        <v>36</v>
      </c>
      <c r="I52" t="s">
        <v>22</v>
      </c>
      <c r="J52" t="s">
        <v>86</v>
      </c>
      <c r="K52" t="s">
        <v>109</v>
      </c>
      <c r="L52" t="s">
        <v>25</v>
      </c>
      <c r="M52" t="s">
        <v>26</v>
      </c>
      <c r="N52" t="s">
        <v>110</v>
      </c>
      <c r="O52" t="str">
        <f t="shared" si="0"/>
        <v>Mountain-200</v>
      </c>
      <c r="P52" t="str">
        <f t="shared" ref="P52:P53" si="6">MID(N52,14,6)</f>
        <v>Silver</v>
      </c>
      <c r="Q52" t="str">
        <f t="shared" si="1"/>
        <v>46</v>
      </c>
      <c r="R52">
        <v>1</v>
      </c>
      <c r="T52" s="2">
        <v>1266</v>
      </c>
      <c r="U52" s="2">
        <v>2320</v>
      </c>
      <c r="V52" s="2">
        <v>1054</v>
      </c>
      <c r="W52" s="2">
        <v>1266</v>
      </c>
      <c r="X52" s="2">
        <v>2320</v>
      </c>
      <c r="Y52" t="s">
        <v>111</v>
      </c>
    </row>
    <row r="53" spans="1:25" x14ac:dyDescent="0.25">
      <c r="A53">
        <v>261746</v>
      </c>
      <c r="B53">
        <v>1</v>
      </c>
      <c r="C53" s="1">
        <v>44547</v>
      </c>
      <c r="D53">
        <v>17</v>
      </c>
      <c r="E53" t="s">
        <v>20</v>
      </c>
      <c r="F53">
        <v>2021</v>
      </c>
      <c r="G53">
        <v>37</v>
      </c>
      <c r="H53" t="s">
        <v>21</v>
      </c>
      <c r="I53" t="s">
        <v>22</v>
      </c>
      <c r="J53" t="s">
        <v>23</v>
      </c>
      <c r="K53" t="s">
        <v>45</v>
      </c>
      <c r="L53" t="s">
        <v>25</v>
      </c>
      <c r="M53" t="s">
        <v>26</v>
      </c>
      <c r="N53" t="s">
        <v>53</v>
      </c>
      <c r="O53" t="str">
        <f t="shared" si="0"/>
        <v>Mountain-200</v>
      </c>
      <c r="P53" t="str">
        <f t="shared" si="6"/>
        <v>Silver</v>
      </c>
      <c r="Q53" t="str">
        <f t="shared" si="1"/>
        <v>38</v>
      </c>
      <c r="R53">
        <v>2</v>
      </c>
      <c r="T53" s="2">
        <v>1266</v>
      </c>
      <c r="U53" s="2">
        <v>2320</v>
      </c>
      <c r="V53" s="2">
        <v>2108</v>
      </c>
      <c r="W53" s="2">
        <v>2532</v>
      </c>
      <c r="X53" s="2">
        <v>4640</v>
      </c>
      <c r="Y53" t="s">
        <v>112</v>
      </c>
    </row>
    <row r="54" spans="1:25" x14ac:dyDescent="0.25">
      <c r="A54">
        <v>261747</v>
      </c>
      <c r="B54">
        <v>1</v>
      </c>
      <c r="C54" s="1">
        <v>44547</v>
      </c>
      <c r="D54">
        <v>17</v>
      </c>
      <c r="E54" t="s">
        <v>20</v>
      </c>
      <c r="F54">
        <v>2021</v>
      </c>
      <c r="G54">
        <v>31</v>
      </c>
      <c r="H54" t="s">
        <v>36</v>
      </c>
      <c r="I54" t="s">
        <v>29</v>
      </c>
      <c r="J54" t="s">
        <v>37</v>
      </c>
      <c r="K54" t="s">
        <v>38</v>
      </c>
      <c r="L54" t="s">
        <v>25</v>
      </c>
      <c r="M54" t="s">
        <v>26</v>
      </c>
      <c r="N54" t="s">
        <v>39</v>
      </c>
      <c r="O54" t="str">
        <f t="shared" si="0"/>
        <v>Mountain-400</v>
      </c>
      <c r="P54" t="str">
        <f>MID(N54,14,8)</f>
        <v>W Silver</v>
      </c>
      <c r="Q54" t="str">
        <f t="shared" si="1"/>
        <v>42</v>
      </c>
      <c r="R54">
        <v>1</v>
      </c>
      <c r="T54" s="2">
        <v>420</v>
      </c>
      <c r="U54" s="2">
        <v>769</v>
      </c>
      <c r="V54" s="2">
        <v>349</v>
      </c>
      <c r="W54" s="2">
        <v>420</v>
      </c>
      <c r="X54" s="2">
        <v>769</v>
      </c>
      <c r="Y54" t="s">
        <v>113</v>
      </c>
    </row>
    <row r="55" spans="1:25" x14ac:dyDescent="0.25">
      <c r="A55">
        <v>261748</v>
      </c>
      <c r="B55">
        <v>1</v>
      </c>
      <c r="C55" s="1">
        <v>44547</v>
      </c>
      <c r="D55">
        <v>17</v>
      </c>
      <c r="E55" t="s">
        <v>20</v>
      </c>
      <c r="F55">
        <v>2021</v>
      </c>
      <c r="G55">
        <v>42</v>
      </c>
      <c r="H55" t="s">
        <v>21</v>
      </c>
      <c r="I55" t="s">
        <v>22</v>
      </c>
      <c r="J55" t="s">
        <v>49</v>
      </c>
      <c r="K55" t="s">
        <v>50</v>
      </c>
      <c r="L55" t="s">
        <v>25</v>
      </c>
      <c r="M55" t="s">
        <v>26</v>
      </c>
      <c r="N55" t="s">
        <v>110</v>
      </c>
      <c r="O55" t="str">
        <f t="shared" si="0"/>
        <v>Mountain-200</v>
      </c>
      <c r="P55" t="str">
        <f t="shared" ref="P55:P58" si="7">MID(N55,14,6)</f>
        <v>Silver</v>
      </c>
      <c r="Q55" t="str">
        <f t="shared" si="1"/>
        <v>46</v>
      </c>
      <c r="R55">
        <v>1</v>
      </c>
      <c r="T55" s="2">
        <v>1266</v>
      </c>
      <c r="U55" s="2">
        <v>2320</v>
      </c>
      <c r="V55" s="2">
        <v>1054</v>
      </c>
      <c r="W55" s="2">
        <v>1266</v>
      </c>
      <c r="X55" s="2">
        <v>2320</v>
      </c>
      <c r="Y55" t="s">
        <v>114</v>
      </c>
    </row>
    <row r="56" spans="1:25" x14ac:dyDescent="0.25">
      <c r="A56">
        <v>261749</v>
      </c>
      <c r="B56">
        <v>1</v>
      </c>
      <c r="C56" s="1">
        <v>44548</v>
      </c>
      <c r="D56">
        <v>18</v>
      </c>
      <c r="E56" t="s">
        <v>20</v>
      </c>
      <c r="F56">
        <v>2021</v>
      </c>
      <c r="G56">
        <v>35</v>
      </c>
      <c r="H56" t="s">
        <v>21</v>
      </c>
      <c r="I56" t="s">
        <v>22</v>
      </c>
      <c r="J56" t="s">
        <v>37</v>
      </c>
      <c r="K56" t="s">
        <v>38</v>
      </c>
      <c r="L56" t="s">
        <v>25</v>
      </c>
      <c r="M56" t="s">
        <v>26</v>
      </c>
      <c r="N56" t="s">
        <v>66</v>
      </c>
      <c r="O56" t="str">
        <f t="shared" si="0"/>
        <v>Mountain-500</v>
      </c>
      <c r="P56" t="str">
        <f t="shared" si="7"/>
        <v>Silver</v>
      </c>
      <c r="Q56" t="str">
        <f t="shared" si="1"/>
        <v>42</v>
      </c>
      <c r="R56">
        <v>4</v>
      </c>
      <c r="T56" s="2">
        <v>308</v>
      </c>
      <c r="U56" s="2">
        <v>565</v>
      </c>
      <c r="V56" s="2">
        <v>1028</v>
      </c>
      <c r="W56" s="2">
        <v>1232</v>
      </c>
      <c r="X56" s="2">
        <v>2260</v>
      </c>
      <c r="Y56" t="s">
        <v>115</v>
      </c>
    </row>
    <row r="57" spans="1:25" x14ac:dyDescent="0.25">
      <c r="A57">
        <v>261750</v>
      </c>
      <c r="B57">
        <v>1</v>
      </c>
      <c r="C57" s="1">
        <v>44548</v>
      </c>
      <c r="D57">
        <v>18</v>
      </c>
      <c r="E57" t="s">
        <v>20</v>
      </c>
      <c r="F57">
        <v>2021</v>
      </c>
      <c r="G57">
        <v>38</v>
      </c>
      <c r="H57" t="s">
        <v>21</v>
      </c>
      <c r="I57" t="s">
        <v>22</v>
      </c>
      <c r="J57" t="s">
        <v>49</v>
      </c>
      <c r="K57" t="s">
        <v>50</v>
      </c>
      <c r="L57" t="s">
        <v>25</v>
      </c>
      <c r="M57" t="s">
        <v>26</v>
      </c>
      <c r="N57" t="s">
        <v>110</v>
      </c>
      <c r="O57" t="str">
        <f t="shared" si="0"/>
        <v>Mountain-200</v>
      </c>
      <c r="P57" t="str">
        <f t="shared" si="7"/>
        <v>Silver</v>
      </c>
      <c r="Q57" t="str">
        <f t="shared" si="1"/>
        <v>46</v>
      </c>
      <c r="R57">
        <v>4</v>
      </c>
      <c r="T57" s="2">
        <v>1266</v>
      </c>
      <c r="U57" s="2">
        <v>2320</v>
      </c>
      <c r="V57" s="2">
        <v>4216</v>
      </c>
      <c r="W57" s="2">
        <v>5064</v>
      </c>
      <c r="X57" s="2">
        <v>9280</v>
      </c>
      <c r="Y57" t="s">
        <v>116</v>
      </c>
    </row>
    <row r="58" spans="1:25" x14ac:dyDescent="0.25">
      <c r="A58">
        <v>261751</v>
      </c>
      <c r="B58">
        <v>1</v>
      </c>
      <c r="C58" s="1">
        <v>44548</v>
      </c>
      <c r="D58">
        <v>18</v>
      </c>
      <c r="E58" t="s">
        <v>20</v>
      </c>
      <c r="F58">
        <v>2021</v>
      </c>
      <c r="G58">
        <v>24</v>
      </c>
      <c r="H58" t="s">
        <v>42</v>
      </c>
      <c r="I58" t="s">
        <v>22</v>
      </c>
      <c r="J58" t="s">
        <v>86</v>
      </c>
      <c r="K58" t="s">
        <v>117</v>
      </c>
      <c r="L58" t="s">
        <v>25</v>
      </c>
      <c r="M58" t="s">
        <v>26</v>
      </c>
      <c r="N58" t="s">
        <v>53</v>
      </c>
      <c r="O58" t="str">
        <f t="shared" si="0"/>
        <v>Mountain-200</v>
      </c>
      <c r="P58" t="str">
        <f t="shared" si="7"/>
        <v>Silver</v>
      </c>
      <c r="Q58" t="str">
        <f t="shared" si="1"/>
        <v>38</v>
      </c>
      <c r="R58">
        <v>3</v>
      </c>
      <c r="T58" s="2">
        <v>1266</v>
      </c>
      <c r="U58" s="2">
        <v>2320</v>
      </c>
      <c r="V58" s="2">
        <v>3162</v>
      </c>
      <c r="W58" s="2">
        <v>3798</v>
      </c>
      <c r="X58" s="2">
        <v>6960</v>
      </c>
      <c r="Y58" t="s">
        <v>118</v>
      </c>
    </row>
    <row r="59" spans="1:25" x14ac:dyDescent="0.25">
      <c r="A59">
        <v>261752</v>
      </c>
      <c r="B59">
        <v>1</v>
      </c>
      <c r="C59" s="1">
        <v>44548</v>
      </c>
      <c r="D59">
        <v>18</v>
      </c>
      <c r="E59" t="s">
        <v>20</v>
      </c>
      <c r="F59">
        <v>2021</v>
      </c>
      <c r="G59">
        <v>26</v>
      </c>
      <c r="H59" t="s">
        <v>36</v>
      </c>
      <c r="I59" t="s">
        <v>22</v>
      </c>
      <c r="J59" t="s">
        <v>30</v>
      </c>
      <c r="K59" t="s">
        <v>31</v>
      </c>
      <c r="L59" t="s">
        <v>25</v>
      </c>
      <c r="M59" t="s">
        <v>26</v>
      </c>
      <c r="N59" t="s">
        <v>39</v>
      </c>
      <c r="O59" t="str">
        <f t="shared" si="0"/>
        <v>Mountain-400</v>
      </c>
      <c r="P59" t="str">
        <f>MID(N59,14,8)</f>
        <v>W Silver</v>
      </c>
      <c r="Q59" t="str">
        <f t="shared" si="1"/>
        <v>42</v>
      </c>
      <c r="R59">
        <v>3</v>
      </c>
      <c r="T59" s="2">
        <v>420</v>
      </c>
      <c r="U59" s="2">
        <v>769</v>
      </c>
      <c r="V59" s="2">
        <v>1047</v>
      </c>
      <c r="W59" s="2">
        <v>1260</v>
      </c>
      <c r="X59" s="2">
        <v>2307</v>
      </c>
      <c r="Y59" t="s">
        <v>119</v>
      </c>
    </row>
    <row r="60" spans="1:25" x14ac:dyDescent="0.25">
      <c r="A60">
        <v>261753</v>
      </c>
      <c r="B60">
        <v>1</v>
      </c>
      <c r="C60" s="1">
        <v>44548</v>
      </c>
      <c r="D60">
        <v>18</v>
      </c>
      <c r="E60" t="s">
        <v>20</v>
      </c>
      <c r="F60">
        <v>2021</v>
      </c>
      <c r="G60">
        <v>39</v>
      </c>
      <c r="H60" t="s">
        <v>21</v>
      </c>
      <c r="I60" t="s">
        <v>29</v>
      </c>
      <c r="J60" t="s">
        <v>23</v>
      </c>
      <c r="K60" t="s">
        <v>24</v>
      </c>
      <c r="L60" t="s">
        <v>25</v>
      </c>
      <c r="M60" t="s">
        <v>26</v>
      </c>
      <c r="N60" t="s">
        <v>60</v>
      </c>
      <c r="O60" t="str">
        <f t="shared" si="0"/>
        <v>Mountain-200</v>
      </c>
      <c r="P60" t="str">
        <f t="shared" si="2"/>
        <v>Black</v>
      </c>
      <c r="Q60" t="str">
        <f t="shared" si="1"/>
        <v>42</v>
      </c>
      <c r="R60">
        <v>3</v>
      </c>
      <c r="T60" s="2">
        <v>1252</v>
      </c>
      <c r="U60" s="2">
        <v>2295</v>
      </c>
      <c r="V60" s="2">
        <v>3129</v>
      </c>
      <c r="W60" s="2">
        <v>3756</v>
      </c>
      <c r="X60" s="2">
        <v>6885</v>
      </c>
      <c r="Y60" t="s">
        <v>120</v>
      </c>
    </row>
    <row r="61" spans="1:25" x14ac:dyDescent="0.25">
      <c r="A61">
        <v>261754</v>
      </c>
      <c r="B61">
        <v>1</v>
      </c>
      <c r="C61" s="1">
        <v>44548</v>
      </c>
      <c r="D61">
        <v>18</v>
      </c>
      <c r="E61" t="s">
        <v>20</v>
      </c>
      <c r="F61">
        <v>2021</v>
      </c>
      <c r="G61">
        <v>26</v>
      </c>
      <c r="H61" t="s">
        <v>36</v>
      </c>
      <c r="I61" t="s">
        <v>29</v>
      </c>
      <c r="J61" t="s">
        <v>86</v>
      </c>
      <c r="K61" t="s">
        <v>87</v>
      </c>
      <c r="L61" t="s">
        <v>25</v>
      </c>
      <c r="M61" t="s">
        <v>26</v>
      </c>
      <c r="N61" t="s">
        <v>27</v>
      </c>
      <c r="O61" t="str">
        <f t="shared" si="0"/>
        <v>Mountain-200</v>
      </c>
      <c r="P61" t="str">
        <f t="shared" si="2"/>
        <v>Black</v>
      </c>
      <c r="Q61" t="str">
        <f t="shared" si="1"/>
        <v>46</v>
      </c>
      <c r="R61">
        <v>1</v>
      </c>
      <c r="T61" s="2">
        <v>1252</v>
      </c>
      <c r="U61" s="2">
        <v>2295</v>
      </c>
      <c r="V61" s="2">
        <v>1043</v>
      </c>
      <c r="W61" s="2">
        <v>1252</v>
      </c>
      <c r="X61" s="2">
        <v>2295</v>
      </c>
      <c r="Y61" t="s">
        <v>121</v>
      </c>
    </row>
    <row r="62" spans="1:25" x14ac:dyDescent="0.25">
      <c r="A62">
        <v>261755</v>
      </c>
      <c r="B62">
        <v>1</v>
      </c>
      <c r="C62" s="1">
        <v>44548</v>
      </c>
      <c r="D62">
        <v>18</v>
      </c>
      <c r="E62" t="s">
        <v>20</v>
      </c>
      <c r="F62">
        <v>2021</v>
      </c>
      <c r="G62">
        <v>36</v>
      </c>
      <c r="H62" t="s">
        <v>21</v>
      </c>
      <c r="I62" t="s">
        <v>29</v>
      </c>
      <c r="J62" t="s">
        <v>23</v>
      </c>
      <c r="K62" t="s">
        <v>45</v>
      </c>
      <c r="L62" t="s">
        <v>25</v>
      </c>
      <c r="M62" t="s">
        <v>26</v>
      </c>
      <c r="N62" t="s">
        <v>53</v>
      </c>
      <c r="O62" t="str">
        <f t="shared" si="0"/>
        <v>Mountain-200</v>
      </c>
      <c r="P62" t="str">
        <f t="shared" ref="P62:P63" si="8">MID(N62,14,6)</f>
        <v>Silver</v>
      </c>
      <c r="Q62" t="str">
        <f t="shared" si="1"/>
        <v>38</v>
      </c>
      <c r="R62">
        <v>1</v>
      </c>
      <c r="T62" s="2">
        <v>1266</v>
      </c>
      <c r="U62" s="2">
        <v>2320</v>
      </c>
      <c r="V62" s="2">
        <v>1054</v>
      </c>
      <c r="W62" s="2">
        <v>1266</v>
      </c>
      <c r="X62" s="2">
        <v>2320</v>
      </c>
      <c r="Y62" t="s">
        <v>122</v>
      </c>
    </row>
    <row r="63" spans="1:25" x14ac:dyDescent="0.25">
      <c r="A63">
        <v>261756</v>
      </c>
      <c r="B63">
        <v>1</v>
      </c>
      <c r="C63" s="1">
        <v>44549</v>
      </c>
      <c r="D63">
        <v>19</v>
      </c>
      <c r="E63" t="s">
        <v>20</v>
      </c>
      <c r="F63">
        <v>2021</v>
      </c>
      <c r="G63">
        <v>17</v>
      </c>
      <c r="H63" t="s">
        <v>42</v>
      </c>
      <c r="I63" t="s">
        <v>29</v>
      </c>
      <c r="J63" t="s">
        <v>86</v>
      </c>
      <c r="K63" t="s">
        <v>123</v>
      </c>
      <c r="L63" t="s">
        <v>25</v>
      </c>
      <c r="M63" t="s">
        <v>26</v>
      </c>
      <c r="N63" t="s">
        <v>110</v>
      </c>
      <c r="O63" t="str">
        <f t="shared" si="0"/>
        <v>Mountain-200</v>
      </c>
      <c r="P63" t="str">
        <f t="shared" si="8"/>
        <v>Silver</v>
      </c>
      <c r="Q63" t="str">
        <f t="shared" si="1"/>
        <v>46</v>
      </c>
      <c r="R63">
        <v>4</v>
      </c>
      <c r="T63" s="2">
        <v>1266</v>
      </c>
      <c r="U63" s="2">
        <v>2320</v>
      </c>
      <c r="V63" s="2">
        <v>4216</v>
      </c>
      <c r="W63" s="2">
        <v>5064</v>
      </c>
      <c r="X63" s="2">
        <v>9280</v>
      </c>
      <c r="Y63" t="s">
        <v>124</v>
      </c>
    </row>
    <row r="64" spans="1:25" x14ac:dyDescent="0.25">
      <c r="A64">
        <v>261757</v>
      </c>
      <c r="B64">
        <v>1</v>
      </c>
      <c r="C64" s="1">
        <v>44549</v>
      </c>
      <c r="D64">
        <v>19</v>
      </c>
      <c r="E64" t="s">
        <v>20</v>
      </c>
      <c r="F64">
        <v>2021</v>
      </c>
      <c r="G64">
        <v>19</v>
      </c>
      <c r="H64" t="s">
        <v>42</v>
      </c>
      <c r="I64" t="s">
        <v>22</v>
      </c>
      <c r="J64" t="s">
        <v>37</v>
      </c>
      <c r="K64" t="s">
        <v>73</v>
      </c>
      <c r="L64" t="s">
        <v>25</v>
      </c>
      <c r="M64" t="s">
        <v>26</v>
      </c>
      <c r="N64" t="s">
        <v>125</v>
      </c>
      <c r="O64" t="str">
        <f t="shared" si="0"/>
        <v>Mountain-500</v>
      </c>
      <c r="P64" t="str">
        <f t="shared" si="2"/>
        <v>Black</v>
      </c>
      <c r="Q64" t="str">
        <f t="shared" si="1"/>
        <v>44</v>
      </c>
      <c r="R64">
        <v>4</v>
      </c>
      <c r="T64" s="2">
        <v>295</v>
      </c>
      <c r="U64" s="2">
        <v>540</v>
      </c>
      <c r="V64" s="2">
        <v>980</v>
      </c>
      <c r="W64" s="2">
        <v>1180</v>
      </c>
      <c r="X64" s="2">
        <v>2160</v>
      </c>
      <c r="Y64" t="s">
        <v>126</v>
      </c>
    </row>
    <row r="65" spans="1:25" x14ac:dyDescent="0.25">
      <c r="A65">
        <v>261758</v>
      </c>
      <c r="B65">
        <v>1</v>
      </c>
      <c r="C65" s="1">
        <v>44549</v>
      </c>
      <c r="D65">
        <v>19</v>
      </c>
      <c r="E65" t="s">
        <v>20</v>
      </c>
      <c r="F65">
        <v>2021</v>
      </c>
      <c r="G65">
        <v>25</v>
      </c>
      <c r="H65" t="s">
        <v>36</v>
      </c>
      <c r="I65" t="s">
        <v>29</v>
      </c>
      <c r="J65" t="s">
        <v>86</v>
      </c>
      <c r="K65" t="s">
        <v>87</v>
      </c>
      <c r="L65" t="s">
        <v>25</v>
      </c>
      <c r="M65" t="s">
        <v>26</v>
      </c>
      <c r="N65" t="s">
        <v>43</v>
      </c>
      <c r="O65" t="str">
        <f t="shared" si="0"/>
        <v>Mountain-200</v>
      </c>
      <c r="P65" t="str">
        <f t="shared" si="2"/>
        <v>Black</v>
      </c>
      <c r="Q65" t="str">
        <f t="shared" si="1"/>
        <v>38</v>
      </c>
      <c r="R65">
        <v>4</v>
      </c>
      <c r="T65" s="2">
        <v>1252</v>
      </c>
      <c r="U65" s="2">
        <v>2295</v>
      </c>
      <c r="V65" s="2">
        <v>4172</v>
      </c>
      <c r="W65" s="2">
        <v>5008</v>
      </c>
      <c r="X65" s="2">
        <v>9180</v>
      </c>
      <c r="Y65" t="s">
        <v>127</v>
      </c>
    </row>
    <row r="66" spans="1:25" x14ac:dyDescent="0.25">
      <c r="A66">
        <v>261759</v>
      </c>
      <c r="B66">
        <v>1</v>
      </c>
      <c r="C66" s="1">
        <v>44549</v>
      </c>
      <c r="D66">
        <v>19</v>
      </c>
      <c r="E66" t="s">
        <v>20</v>
      </c>
      <c r="F66">
        <v>2021</v>
      </c>
      <c r="G66">
        <v>35</v>
      </c>
      <c r="H66" t="s">
        <v>21</v>
      </c>
      <c r="I66" t="s">
        <v>22</v>
      </c>
      <c r="J66" t="s">
        <v>23</v>
      </c>
      <c r="K66" t="s">
        <v>69</v>
      </c>
      <c r="L66" t="s">
        <v>25</v>
      </c>
      <c r="M66" t="s">
        <v>26</v>
      </c>
      <c r="N66" t="s">
        <v>128</v>
      </c>
      <c r="O66" t="str">
        <f t="shared" si="0"/>
        <v>Mountain-100</v>
      </c>
      <c r="P66" t="str">
        <f t="shared" si="2"/>
        <v>Black</v>
      </c>
      <c r="Q66" t="str">
        <f t="shared" si="1"/>
        <v>48</v>
      </c>
      <c r="R66">
        <v>4</v>
      </c>
      <c r="T66" s="2">
        <v>1898</v>
      </c>
      <c r="U66" s="2">
        <v>3375</v>
      </c>
      <c r="V66" s="2">
        <v>5908</v>
      </c>
      <c r="W66" s="2">
        <v>7592</v>
      </c>
      <c r="X66" s="2">
        <v>13500</v>
      </c>
      <c r="Y66" t="s">
        <v>129</v>
      </c>
    </row>
    <row r="67" spans="1:25" x14ac:dyDescent="0.25">
      <c r="A67">
        <v>261760</v>
      </c>
      <c r="B67">
        <v>1</v>
      </c>
      <c r="C67" s="1">
        <v>44549</v>
      </c>
      <c r="D67">
        <v>19</v>
      </c>
      <c r="E67" t="s">
        <v>20</v>
      </c>
      <c r="F67">
        <v>2021</v>
      </c>
      <c r="G67">
        <v>37</v>
      </c>
      <c r="H67" t="s">
        <v>21</v>
      </c>
      <c r="I67" t="s">
        <v>29</v>
      </c>
      <c r="J67" t="s">
        <v>23</v>
      </c>
      <c r="K67" t="s">
        <v>69</v>
      </c>
      <c r="L67" t="s">
        <v>25</v>
      </c>
      <c r="M67" t="s">
        <v>26</v>
      </c>
      <c r="N67" t="s">
        <v>43</v>
      </c>
      <c r="O67" t="str">
        <f t="shared" ref="O67:O89" si="9">LEFT(N67,12)</f>
        <v>Mountain-200</v>
      </c>
      <c r="P67" t="str">
        <f t="shared" ref="P67:P89" si="10">MID(N67,14,5)</f>
        <v>Black</v>
      </c>
      <c r="Q67" t="str">
        <f t="shared" ref="Q67:Q89" si="11">RIGHT(N67,2)</f>
        <v>38</v>
      </c>
      <c r="R67">
        <v>4</v>
      </c>
      <c r="T67" s="2">
        <v>1252</v>
      </c>
      <c r="U67" s="2">
        <v>2295</v>
      </c>
      <c r="V67" s="2">
        <v>4172</v>
      </c>
      <c r="W67" s="2">
        <v>5008</v>
      </c>
      <c r="X67" s="2">
        <v>9180</v>
      </c>
      <c r="Y67" t="s">
        <v>130</v>
      </c>
    </row>
    <row r="68" spans="1:25" x14ac:dyDescent="0.25">
      <c r="A68">
        <v>261761</v>
      </c>
      <c r="B68">
        <v>1</v>
      </c>
      <c r="C68" s="1">
        <v>44549</v>
      </c>
      <c r="D68">
        <v>19</v>
      </c>
      <c r="E68" t="s">
        <v>20</v>
      </c>
      <c r="F68">
        <v>2021</v>
      </c>
      <c r="G68">
        <v>39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 t="s">
        <v>27</v>
      </c>
      <c r="O68" t="str">
        <f t="shared" si="9"/>
        <v>Mountain-200</v>
      </c>
      <c r="P68" t="str">
        <f t="shared" si="10"/>
        <v>Black</v>
      </c>
      <c r="Q68" t="str">
        <f t="shared" si="11"/>
        <v>46</v>
      </c>
      <c r="R68">
        <v>4</v>
      </c>
      <c r="T68" s="2">
        <v>1252</v>
      </c>
      <c r="U68" s="2">
        <v>2295</v>
      </c>
      <c r="V68" s="2">
        <v>4172</v>
      </c>
      <c r="W68" s="2">
        <v>5008</v>
      </c>
      <c r="X68" s="2">
        <v>9180</v>
      </c>
      <c r="Y68" t="s">
        <v>131</v>
      </c>
    </row>
    <row r="69" spans="1:25" x14ac:dyDescent="0.25">
      <c r="A69">
        <v>261762</v>
      </c>
      <c r="B69">
        <v>1</v>
      </c>
      <c r="C69" s="1">
        <v>44549</v>
      </c>
      <c r="D69">
        <v>19</v>
      </c>
      <c r="E69" t="s">
        <v>20</v>
      </c>
      <c r="F69">
        <v>2021</v>
      </c>
      <c r="G69">
        <v>63</v>
      </c>
      <c r="H69" t="s">
        <v>21</v>
      </c>
      <c r="I69" t="s">
        <v>22</v>
      </c>
      <c r="J69" t="s">
        <v>37</v>
      </c>
      <c r="K69" t="s">
        <v>52</v>
      </c>
      <c r="L69" t="s">
        <v>25</v>
      </c>
      <c r="M69" t="s">
        <v>26</v>
      </c>
      <c r="N69" t="s">
        <v>27</v>
      </c>
      <c r="O69" t="str">
        <f t="shared" si="9"/>
        <v>Mountain-200</v>
      </c>
      <c r="P69" t="str">
        <f t="shared" si="10"/>
        <v>Black</v>
      </c>
      <c r="Q69" t="str">
        <f t="shared" si="11"/>
        <v>46</v>
      </c>
      <c r="R69">
        <v>4</v>
      </c>
      <c r="T69" s="2">
        <v>1252</v>
      </c>
      <c r="U69" s="2">
        <v>2295</v>
      </c>
      <c r="V69" s="2">
        <v>4172</v>
      </c>
      <c r="W69" s="2">
        <v>5008</v>
      </c>
      <c r="X69" s="2">
        <v>9180</v>
      </c>
      <c r="Y69" t="s">
        <v>132</v>
      </c>
    </row>
    <row r="70" spans="1:25" x14ac:dyDescent="0.25">
      <c r="A70">
        <v>261763</v>
      </c>
      <c r="B70">
        <v>1</v>
      </c>
      <c r="C70" s="1">
        <v>44549</v>
      </c>
      <c r="D70">
        <v>19</v>
      </c>
      <c r="E70" t="s">
        <v>20</v>
      </c>
      <c r="F70">
        <v>2021</v>
      </c>
      <c r="G70">
        <v>18</v>
      </c>
      <c r="H70" t="s">
        <v>42</v>
      </c>
      <c r="I70" t="s">
        <v>29</v>
      </c>
      <c r="J70" t="s">
        <v>37</v>
      </c>
      <c r="K70" t="s">
        <v>133</v>
      </c>
      <c r="L70" t="s">
        <v>25</v>
      </c>
      <c r="M70" t="s">
        <v>26</v>
      </c>
      <c r="N70" t="s">
        <v>81</v>
      </c>
      <c r="O70" t="str">
        <f t="shared" si="9"/>
        <v>Mountain-500</v>
      </c>
      <c r="P70" t="str">
        <f t="shared" si="10"/>
        <v>Black</v>
      </c>
      <c r="Q70" t="str">
        <f t="shared" si="11"/>
        <v>40</v>
      </c>
      <c r="R70">
        <v>2</v>
      </c>
      <c r="T70" s="2">
        <v>295</v>
      </c>
      <c r="U70" s="2">
        <v>540</v>
      </c>
      <c r="V70" s="2">
        <v>490</v>
      </c>
      <c r="W70" s="2">
        <v>590</v>
      </c>
      <c r="X70" s="2">
        <v>1080</v>
      </c>
      <c r="Y70" t="s">
        <v>134</v>
      </c>
    </row>
    <row r="71" spans="1:25" x14ac:dyDescent="0.25">
      <c r="A71">
        <v>261764</v>
      </c>
      <c r="B71">
        <v>1</v>
      </c>
      <c r="C71" s="1">
        <v>44549</v>
      </c>
      <c r="D71">
        <v>19</v>
      </c>
      <c r="E71" t="s">
        <v>20</v>
      </c>
      <c r="F71">
        <v>2021</v>
      </c>
      <c r="G71">
        <v>56</v>
      </c>
      <c r="H71" t="s">
        <v>21</v>
      </c>
      <c r="I71" t="s">
        <v>22</v>
      </c>
      <c r="J71" t="s">
        <v>49</v>
      </c>
      <c r="K71" t="s">
        <v>135</v>
      </c>
      <c r="L71" t="s">
        <v>25</v>
      </c>
      <c r="M71" t="s">
        <v>26</v>
      </c>
      <c r="N71" t="s">
        <v>27</v>
      </c>
      <c r="O71" t="str">
        <f t="shared" si="9"/>
        <v>Mountain-200</v>
      </c>
      <c r="P71" t="str">
        <f t="shared" si="10"/>
        <v>Black</v>
      </c>
      <c r="Q71" t="str">
        <f t="shared" si="11"/>
        <v>46</v>
      </c>
      <c r="R71">
        <v>2</v>
      </c>
      <c r="T71" s="2">
        <v>1252</v>
      </c>
      <c r="U71" s="2">
        <v>2295</v>
      </c>
      <c r="V71" s="2">
        <v>2086</v>
      </c>
      <c r="W71" s="2">
        <v>2504</v>
      </c>
      <c r="X71" s="2">
        <v>4590</v>
      </c>
      <c r="Y71" t="s">
        <v>136</v>
      </c>
    </row>
    <row r="72" spans="1:25" x14ac:dyDescent="0.25">
      <c r="A72">
        <v>261765</v>
      </c>
      <c r="B72">
        <v>1</v>
      </c>
      <c r="C72" s="1">
        <v>44549</v>
      </c>
      <c r="D72">
        <v>19</v>
      </c>
      <c r="E72" t="s">
        <v>20</v>
      </c>
      <c r="F72">
        <v>2021</v>
      </c>
      <c r="G72">
        <v>39</v>
      </c>
      <c r="H72" t="s">
        <v>21</v>
      </c>
      <c r="I72" t="s">
        <v>22</v>
      </c>
      <c r="J72" t="s">
        <v>23</v>
      </c>
      <c r="K72" t="s">
        <v>45</v>
      </c>
      <c r="L72" t="s">
        <v>25</v>
      </c>
      <c r="M72" t="s">
        <v>26</v>
      </c>
      <c r="N72" t="s">
        <v>53</v>
      </c>
      <c r="O72" t="str">
        <f t="shared" si="9"/>
        <v>Mountain-200</v>
      </c>
      <c r="P72" t="str">
        <f>MID(N72,14,6)</f>
        <v>Silver</v>
      </c>
      <c r="Q72" t="str">
        <f t="shared" si="11"/>
        <v>38</v>
      </c>
      <c r="R72">
        <v>1</v>
      </c>
      <c r="T72" s="2">
        <v>1266</v>
      </c>
      <c r="U72" s="2">
        <v>2320</v>
      </c>
      <c r="V72" s="2">
        <v>1054</v>
      </c>
      <c r="W72" s="2">
        <v>1266</v>
      </c>
      <c r="X72" s="2">
        <v>2320</v>
      </c>
      <c r="Y72" t="s">
        <v>137</v>
      </c>
    </row>
    <row r="73" spans="1:25" x14ac:dyDescent="0.25">
      <c r="A73">
        <v>261766</v>
      </c>
      <c r="B73">
        <v>1</v>
      </c>
      <c r="C73" s="1">
        <v>44550</v>
      </c>
      <c r="D73">
        <v>20</v>
      </c>
      <c r="E73" t="s">
        <v>20</v>
      </c>
      <c r="F73">
        <v>2021</v>
      </c>
      <c r="G73">
        <v>33</v>
      </c>
      <c r="H73" t="s">
        <v>36</v>
      </c>
      <c r="I73" t="s">
        <v>22</v>
      </c>
      <c r="J73" t="s">
        <v>37</v>
      </c>
      <c r="K73" t="s">
        <v>73</v>
      </c>
      <c r="L73" t="s">
        <v>25</v>
      </c>
      <c r="M73" t="s">
        <v>26</v>
      </c>
      <c r="N73" t="s">
        <v>74</v>
      </c>
      <c r="O73" t="str">
        <f t="shared" si="9"/>
        <v>Mountain-100</v>
      </c>
      <c r="P73" t="str">
        <f t="shared" si="10"/>
        <v>Black</v>
      </c>
      <c r="Q73" t="str">
        <f t="shared" si="11"/>
        <v>38</v>
      </c>
      <c r="R73">
        <v>4</v>
      </c>
      <c r="T73" s="2">
        <v>1898</v>
      </c>
      <c r="U73" s="2">
        <v>3375</v>
      </c>
      <c r="V73" s="2">
        <v>5908</v>
      </c>
      <c r="W73" s="2">
        <v>7592</v>
      </c>
      <c r="X73" s="2">
        <v>13500</v>
      </c>
      <c r="Y73" t="s">
        <v>138</v>
      </c>
    </row>
    <row r="74" spans="1:25" x14ac:dyDescent="0.25">
      <c r="A74">
        <v>261767</v>
      </c>
      <c r="B74">
        <v>1</v>
      </c>
      <c r="C74" s="1">
        <v>44550</v>
      </c>
      <c r="D74">
        <v>20</v>
      </c>
      <c r="E74" t="s">
        <v>20</v>
      </c>
      <c r="F74">
        <v>2021</v>
      </c>
      <c r="G74">
        <v>57</v>
      </c>
      <c r="H74" t="s">
        <v>21</v>
      </c>
      <c r="I74" t="s">
        <v>29</v>
      </c>
      <c r="J74" t="s">
        <v>37</v>
      </c>
      <c r="K74" t="s">
        <v>52</v>
      </c>
      <c r="L74" t="s">
        <v>25</v>
      </c>
      <c r="M74" t="s">
        <v>26</v>
      </c>
      <c r="N74" t="s">
        <v>27</v>
      </c>
      <c r="O74" t="str">
        <f t="shared" si="9"/>
        <v>Mountain-200</v>
      </c>
      <c r="P74" t="str">
        <f t="shared" si="10"/>
        <v>Black</v>
      </c>
      <c r="Q74" t="str">
        <f t="shared" si="11"/>
        <v>46</v>
      </c>
      <c r="R74">
        <v>4</v>
      </c>
      <c r="T74" s="2">
        <v>1252</v>
      </c>
      <c r="U74" s="2">
        <v>2295</v>
      </c>
      <c r="V74" s="2">
        <v>4172</v>
      </c>
      <c r="W74" s="2">
        <v>5008</v>
      </c>
      <c r="X74" s="2">
        <v>9180</v>
      </c>
      <c r="Y74" t="s">
        <v>139</v>
      </c>
    </row>
    <row r="75" spans="1:25" x14ac:dyDescent="0.25">
      <c r="A75">
        <v>261768</v>
      </c>
      <c r="B75">
        <v>1</v>
      </c>
      <c r="C75" s="1">
        <v>44550</v>
      </c>
      <c r="D75">
        <v>20</v>
      </c>
      <c r="E75" t="s">
        <v>20</v>
      </c>
      <c r="F75">
        <v>2021</v>
      </c>
      <c r="G75">
        <v>29</v>
      </c>
      <c r="H75" t="s">
        <v>36</v>
      </c>
      <c r="I75" t="s">
        <v>29</v>
      </c>
      <c r="J75" t="s">
        <v>57</v>
      </c>
      <c r="K75" t="s">
        <v>58</v>
      </c>
      <c r="L75" t="s">
        <v>25</v>
      </c>
      <c r="M75" t="s">
        <v>26</v>
      </c>
      <c r="N75" t="s">
        <v>140</v>
      </c>
      <c r="O75" t="str">
        <f t="shared" si="9"/>
        <v>Mountain-500</v>
      </c>
      <c r="P75" t="str">
        <f t="shared" si="10"/>
        <v>Black</v>
      </c>
      <c r="Q75" t="str">
        <f t="shared" si="11"/>
        <v>52</v>
      </c>
      <c r="R75">
        <v>3</v>
      </c>
      <c r="T75" s="2">
        <v>295</v>
      </c>
      <c r="U75" s="2">
        <v>540</v>
      </c>
      <c r="V75" s="2">
        <v>735</v>
      </c>
      <c r="W75" s="2">
        <v>885</v>
      </c>
      <c r="X75" s="2">
        <v>1620</v>
      </c>
      <c r="Y75" t="s">
        <v>141</v>
      </c>
    </row>
    <row r="76" spans="1:25" x14ac:dyDescent="0.25">
      <c r="A76">
        <v>261769</v>
      </c>
      <c r="B76">
        <v>1</v>
      </c>
      <c r="C76" s="1">
        <v>44550</v>
      </c>
      <c r="D76">
        <v>20</v>
      </c>
      <c r="E76" t="s">
        <v>20</v>
      </c>
      <c r="F76">
        <v>2021</v>
      </c>
      <c r="G76">
        <v>35</v>
      </c>
      <c r="H76" t="s">
        <v>21</v>
      </c>
      <c r="I76" t="s">
        <v>22</v>
      </c>
      <c r="J76" t="s">
        <v>37</v>
      </c>
      <c r="K76" t="s">
        <v>52</v>
      </c>
      <c r="L76" t="s">
        <v>25</v>
      </c>
      <c r="M76" t="s">
        <v>26</v>
      </c>
      <c r="N76" t="s">
        <v>53</v>
      </c>
      <c r="O76" t="str">
        <f t="shared" si="9"/>
        <v>Mountain-200</v>
      </c>
      <c r="P76" t="str">
        <f t="shared" ref="P76:P78" si="12">MID(N76,14,6)</f>
        <v>Silver</v>
      </c>
      <c r="Q76" t="str">
        <f t="shared" si="11"/>
        <v>38</v>
      </c>
      <c r="R76">
        <v>1</v>
      </c>
      <c r="T76" s="2">
        <v>1266</v>
      </c>
      <c r="U76" s="2">
        <v>2320</v>
      </c>
      <c r="V76" s="2">
        <v>1054</v>
      </c>
      <c r="W76" s="2">
        <v>1266</v>
      </c>
      <c r="X76" s="2">
        <v>2320</v>
      </c>
      <c r="Y76" t="s">
        <v>142</v>
      </c>
    </row>
    <row r="77" spans="1:25" x14ac:dyDescent="0.25">
      <c r="A77">
        <v>261770</v>
      </c>
      <c r="B77">
        <v>1</v>
      </c>
      <c r="C77" s="1">
        <v>44550</v>
      </c>
      <c r="D77">
        <v>20</v>
      </c>
      <c r="E77" t="s">
        <v>20</v>
      </c>
      <c r="F77">
        <v>2021</v>
      </c>
      <c r="G77">
        <v>35</v>
      </c>
      <c r="H77" t="s">
        <v>21</v>
      </c>
      <c r="I77" t="s">
        <v>29</v>
      </c>
      <c r="J77" t="s">
        <v>37</v>
      </c>
      <c r="K77" t="s">
        <v>73</v>
      </c>
      <c r="L77" t="s">
        <v>25</v>
      </c>
      <c r="M77" t="s">
        <v>26</v>
      </c>
      <c r="N77" t="s">
        <v>53</v>
      </c>
      <c r="O77" t="str">
        <f t="shared" si="9"/>
        <v>Mountain-200</v>
      </c>
      <c r="P77" t="str">
        <f t="shared" si="12"/>
        <v>Silver</v>
      </c>
      <c r="Q77" t="str">
        <f t="shared" si="11"/>
        <v>38</v>
      </c>
      <c r="R77">
        <v>1</v>
      </c>
      <c r="T77" s="2">
        <v>1266</v>
      </c>
      <c r="U77" s="2">
        <v>2320</v>
      </c>
      <c r="V77" s="2">
        <v>1054</v>
      </c>
      <c r="W77" s="2">
        <v>1266</v>
      </c>
      <c r="X77" s="2">
        <v>2320</v>
      </c>
      <c r="Y77" t="s">
        <v>143</v>
      </c>
    </row>
    <row r="78" spans="1:25" x14ac:dyDescent="0.25">
      <c r="A78">
        <v>261771</v>
      </c>
      <c r="B78">
        <v>1</v>
      </c>
      <c r="C78" s="1">
        <v>44551</v>
      </c>
      <c r="D78">
        <v>21</v>
      </c>
      <c r="E78" t="s">
        <v>20</v>
      </c>
      <c r="F78">
        <v>2021</v>
      </c>
      <c r="G78">
        <v>26</v>
      </c>
      <c r="H78" t="s">
        <v>36</v>
      </c>
      <c r="I78" t="s">
        <v>29</v>
      </c>
      <c r="J78" t="s">
        <v>86</v>
      </c>
      <c r="K78" t="s">
        <v>144</v>
      </c>
      <c r="L78" t="s">
        <v>25</v>
      </c>
      <c r="M78" t="s">
        <v>26</v>
      </c>
      <c r="N78" t="s">
        <v>53</v>
      </c>
      <c r="O78" t="str">
        <f t="shared" si="9"/>
        <v>Mountain-200</v>
      </c>
      <c r="P78" t="str">
        <f t="shared" si="12"/>
        <v>Silver</v>
      </c>
      <c r="Q78" t="str">
        <f t="shared" si="11"/>
        <v>38</v>
      </c>
      <c r="R78">
        <v>3</v>
      </c>
      <c r="T78" s="2">
        <v>1266</v>
      </c>
      <c r="U78" s="2">
        <v>2320</v>
      </c>
      <c r="V78" s="2">
        <v>3162</v>
      </c>
      <c r="W78" s="2">
        <v>3798</v>
      </c>
      <c r="X78" s="2">
        <v>6960</v>
      </c>
      <c r="Y78" t="s">
        <v>145</v>
      </c>
    </row>
    <row r="79" spans="1:25" x14ac:dyDescent="0.25">
      <c r="A79">
        <v>261772</v>
      </c>
      <c r="B79">
        <v>1</v>
      </c>
      <c r="C79" s="1">
        <v>44551</v>
      </c>
      <c r="D79">
        <v>21</v>
      </c>
      <c r="E79" t="s">
        <v>20</v>
      </c>
      <c r="F79">
        <v>2021</v>
      </c>
      <c r="G79">
        <v>23</v>
      </c>
      <c r="H79" t="s">
        <v>42</v>
      </c>
      <c r="I79" t="s">
        <v>29</v>
      </c>
      <c r="J79" t="s">
        <v>30</v>
      </c>
      <c r="K79" t="s">
        <v>31</v>
      </c>
      <c r="L79" t="s">
        <v>25</v>
      </c>
      <c r="M79" t="s">
        <v>26</v>
      </c>
      <c r="N79" t="s">
        <v>34</v>
      </c>
      <c r="O79" t="str">
        <f t="shared" si="9"/>
        <v>Mountain-400</v>
      </c>
      <c r="P79" t="str">
        <f>MID(N79,14,8)</f>
        <v>W Silver</v>
      </c>
      <c r="Q79" t="str">
        <f t="shared" si="11"/>
        <v>46</v>
      </c>
      <c r="R79">
        <v>2</v>
      </c>
      <c r="T79" s="2">
        <v>420</v>
      </c>
      <c r="U79" s="2">
        <v>769</v>
      </c>
      <c r="V79" s="2">
        <v>698</v>
      </c>
      <c r="W79" s="2">
        <v>840</v>
      </c>
      <c r="X79" s="2">
        <v>1538</v>
      </c>
      <c r="Y79" t="s">
        <v>146</v>
      </c>
    </row>
    <row r="80" spans="1:25" x14ac:dyDescent="0.25">
      <c r="A80">
        <v>261773</v>
      </c>
      <c r="B80">
        <v>1</v>
      </c>
      <c r="C80" s="1">
        <v>44552</v>
      </c>
      <c r="D80">
        <v>22</v>
      </c>
      <c r="E80" t="s">
        <v>20</v>
      </c>
      <c r="F80">
        <v>2021</v>
      </c>
      <c r="G80">
        <v>30</v>
      </c>
      <c r="H80" t="s">
        <v>36</v>
      </c>
      <c r="I80" t="s">
        <v>22</v>
      </c>
      <c r="J80" t="s">
        <v>23</v>
      </c>
      <c r="K80" t="s">
        <v>45</v>
      </c>
      <c r="L80" t="s">
        <v>25</v>
      </c>
      <c r="M80" t="s">
        <v>26</v>
      </c>
      <c r="N80" t="s">
        <v>53</v>
      </c>
      <c r="O80" t="str">
        <f t="shared" si="9"/>
        <v>Mountain-200</v>
      </c>
      <c r="P80" t="str">
        <f>MID(N80,14,6)</f>
        <v>Silver</v>
      </c>
      <c r="Q80" t="str">
        <f t="shared" si="11"/>
        <v>38</v>
      </c>
      <c r="R80">
        <v>3</v>
      </c>
      <c r="T80" s="2">
        <v>1266</v>
      </c>
      <c r="U80" s="2">
        <v>2320</v>
      </c>
      <c r="V80" s="2">
        <v>3162</v>
      </c>
      <c r="W80" s="2">
        <v>3798</v>
      </c>
      <c r="X80" s="2">
        <v>6960</v>
      </c>
      <c r="Y80" t="s">
        <v>147</v>
      </c>
    </row>
    <row r="81" spans="1:25" x14ac:dyDescent="0.25">
      <c r="A81">
        <v>261774</v>
      </c>
      <c r="B81">
        <v>1</v>
      </c>
      <c r="C81" s="1">
        <v>44552</v>
      </c>
      <c r="D81">
        <v>22</v>
      </c>
      <c r="E81" t="s">
        <v>20</v>
      </c>
      <c r="F81">
        <v>2021</v>
      </c>
      <c r="G81">
        <v>41</v>
      </c>
      <c r="H81" t="s">
        <v>21</v>
      </c>
      <c r="I81" t="s">
        <v>29</v>
      </c>
      <c r="J81" t="s">
        <v>23</v>
      </c>
      <c r="K81" t="s">
        <v>24</v>
      </c>
      <c r="L81" t="s">
        <v>25</v>
      </c>
      <c r="M81" t="s">
        <v>26</v>
      </c>
      <c r="N81" t="s">
        <v>60</v>
      </c>
      <c r="O81" t="str">
        <f t="shared" si="9"/>
        <v>Mountain-200</v>
      </c>
      <c r="P81" t="str">
        <f t="shared" si="10"/>
        <v>Black</v>
      </c>
      <c r="Q81" t="str">
        <f t="shared" si="11"/>
        <v>42</v>
      </c>
      <c r="R81">
        <v>3</v>
      </c>
      <c r="T81" s="2">
        <v>1252</v>
      </c>
      <c r="U81" s="2">
        <v>2295</v>
      </c>
      <c r="V81" s="2">
        <v>3129</v>
      </c>
      <c r="W81" s="2">
        <v>3756</v>
      </c>
      <c r="X81" s="2">
        <v>6885</v>
      </c>
      <c r="Y81" t="s">
        <v>148</v>
      </c>
    </row>
    <row r="82" spans="1:25" x14ac:dyDescent="0.25">
      <c r="A82">
        <v>261775</v>
      </c>
      <c r="B82">
        <v>1</v>
      </c>
      <c r="C82" s="1">
        <v>44552</v>
      </c>
      <c r="D82">
        <v>22</v>
      </c>
      <c r="E82" t="s">
        <v>20</v>
      </c>
      <c r="F82">
        <v>2021</v>
      </c>
      <c r="G82">
        <v>19</v>
      </c>
      <c r="H82" t="s">
        <v>42</v>
      </c>
      <c r="I82" t="s">
        <v>22</v>
      </c>
      <c r="J82" t="s">
        <v>37</v>
      </c>
      <c r="K82" t="s">
        <v>38</v>
      </c>
      <c r="L82" t="s">
        <v>25</v>
      </c>
      <c r="M82" t="s">
        <v>26</v>
      </c>
      <c r="N82" t="s">
        <v>66</v>
      </c>
      <c r="O82" t="str">
        <f t="shared" si="9"/>
        <v>Mountain-500</v>
      </c>
      <c r="P82" t="str">
        <f>MID(N82,14,6)</f>
        <v>Silver</v>
      </c>
      <c r="Q82" t="str">
        <f t="shared" si="11"/>
        <v>42</v>
      </c>
      <c r="R82">
        <v>1</v>
      </c>
      <c r="T82" s="2">
        <v>308</v>
      </c>
      <c r="U82" s="2">
        <v>565</v>
      </c>
      <c r="V82" s="2">
        <v>257</v>
      </c>
      <c r="W82" s="2">
        <v>308</v>
      </c>
      <c r="X82" s="2">
        <v>565</v>
      </c>
      <c r="Y82" t="s">
        <v>149</v>
      </c>
    </row>
    <row r="83" spans="1:25" x14ac:dyDescent="0.25">
      <c r="A83">
        <v>261776</v>
      </c>
      <c r="B83">
        <v>1</v>
      </c>
      <c r="C83" s="1">
        <v>44552</v>
      </c>
      <c r="D83">
        <v>22</v>
      </c>
      <c r="E83" t="s">
        <v>20</v>
      </c>
      <c r="F83">
        <v>2021</v>
      </c>
      <c r="G83">
        <v>25</v>
      </c>
      <c r="H83" t="s">
        <v>36</v>
      </c>
      <c r="I83" t="s">
        <v>29</v>
      </c>
      <c r="J83" t="s">
        <v>86</v>
      </c>
      <c r="K83" t="s">
        <v>87</v>
      </c>
      <c r="L83" t="s">
        <v>25</v>
      </c>
      <c r="M83" t="s">
        <v>26</v>
      </c>
      <c r="N83" t="s">
        <v>43</v>
      </c>
      <c r="O83" t="str">
        <f t="shared" si="9"/>
        <v>Mountain-200</v>
      </c>
      <c r="P83" t="str">
        <f t="shared" si="10"/>
        <v>Black</v>
      </c>
      <c r="Q83" t="str">
        <f t="shared" si="11"/>
        <v>38</v>
      </c>
      <c r="R83">
        <v>1</v>
      </c>
      <c r="T83" s="2">
        <v>1252</v>
      </c>
      <c r="U83" s="2">
        <v>2295</v>
      </c>
      <c r="V83" s="2">
        <v>1043</v>
      </c>
      <c r="W83" s="2">
        <v>1252</v>
      </c>
      <c r="X83" s="2">
        <v>2295</v>
      </c>
      <c r="Y83" t="s">
        <v>150</v>
      </c>
    </row>
    <row r="84" spans="1:25" x14ac:dyDescent="0.25">
      <c r="A84">
        <v>261777</v>
      </c>
      <c r="B84">
        <v>1</v>
      </c>
      <c r="C84" s="1">
        <v>44552</v>
      </c>
      <c r="D84">
        <v>22</v>
      </c>
      <c r="E84" t="s">
        <v>20</v>
      </c>
      <c r="F84">
        <v>2021</v>
      </c>
      <c r="G84">
        <v>27</v>
      </c>
      <c r="H84" t="s">
        <v>36</v>
      </c>
      <c r="I84" t="s">
        <v>22</v>
      </c>
      <c r="J84" t="s">
        <v>57</v>
      </c>
      <c r="K84" t="s">
        <v>58</v>
      </c>
      <c r="L84" t="s">
        <v>25</v>
      </c>
      <c r="M84" t="s">
        <v>26</v>
      </c>
      <c r="N84" t="s">
        <v>27</v>
      </c>
      <c r="O84" t="str">
        <f t="shared" si="9"/>
        <v>Mountain-200</v>
      </c>
      <c r="P84" t="str">
        <f t="shared" si="10"/>
        <v>Black</v>
      </c>
      <c r="Q84" t="str">
        <f t="shared" si="11"/>
        <v>46</v>
      </c>
      <c r="R84">
        <v>1</v>
      </c>
      <c r="T84" s="2">
        <v>1252</v>
      </c>
      <c r="U84" s="2">
        <v>2295</v>
      </c>
      <c r="V84" s="2">
        <v>1043</v>
      </c>
      <c r="W84" s="2">
        <v>1252</v>
      </c>
      <c r="X84" s="2">
        <v>2295</v>
      </c>
      <c r="Y84" t="s">
        <v>151</v>
      </c>
    </row>
    <row r="85" spans="1:25" x14ac:dyDescent="0.25">
      <c r="A85">
        <v>261778</v>
      </c>
      <c r="B85">
        <v>1</v>
      </c>
      <c r="C85" s="1">
        <v>44552</v>
      </c>
      <c r="D85">
        <v>22</v>
      </c>
      <c r="E85" t="s">
        <v>20</v>
      </c>
      <c r="F85">
        <v>2021</v>
      </c>
      <c r="G85">
        <v>41</v>
      </c>
      <c r="H85" t="s">
        <v>21</v>
      </c>
      <c r="I85" t="s">
        <v>29</v>
      </c>
      <c r="J85" t="s">
        <v>49</v>
      </c>
      <c r="K85" t="s">
        <v>135</v>
      </c>
      <c r="L85" t="s">
        <v>25</v>
      </c>
      <c r="M85" t="s">
        <v>26</v>
      </c>
      <c r="N85" t="s">
        <v>53</v>
      </c>
      <c r="O85" t="str">
        <f t="shared" si="9"/>
        <v>Mountain-200</v>
      </c>
      <c r="P85" t="str">
        <f t="shared" ref="P85:P86" si="13">MID(N85,14,6)</f>
        <v>Silver</v>
      </c>
      <c r="Q85" t="str">
        <f t="shared" si="11"/>
        <v>38</v>
      </c>
      <c r="R85">
        <v>1</v>
      </c>
      <c r="T85" s="2">
        <v>1266</v>
      </c>
      <c r="U85" s="2">
        <v>2320</v>
      </c>
      <c r="V85" s="2">
        <v>1054</v>
      </c>
      <c r="W85" s="2">
        <v>1266</v>
      </c>
      <c r="X85" s="2">
        <v>2320</v>
      </c>
      <c r="Y85" t="s">
        <v>152</v>
      </c>
    </row>
    <row r="86" spans="1:25" x14ac:dyDescent="0.25">
      <c r="A86">
        <v>261779</v>
      </c>
      <c r="B86">
        <v>1</v>
      </c>
      <c r="C86" s="1">
        <v>44553</v>
      </c>
      <c r="D86">
        <v>23</v>
      </c>
      <c r="E86" t="s">
        <v>20</v>
      </c>
      <c r="F86">
        <v>2021</v>
      </c>
      <c r="G86">
        <v>30</v>
      </c>
      <c r="H86" t="s">
        <v>36</v>
      </c>
      <c r="I86" t="s">
        <v>22</v>
      </c>
      <c r="J86" t="s">
        <v>23</v>
      </c>
      <c r="K86" t="s">
        <v>69</v>
      </c>
      <c r="L86" t="s">
        <v>25</v>
      </c>
      <c r="M86" t="s">
        <v>26</v>
      </c>
      <c r="N86" t="s">
        <v>32</v>
      </c>
      <c r="O86" t="str">
        <f t="shared" si="9"/>
        <v>Mountain-200</v>
      </c>
      <c r="P86" t="str">
        <f t="shared" si="13"/>
        <v>Silver</v>
      </c>
      <c r="Q86" t="str">
        <f t="shared" si="11"/>
        <v>42</v>
      </c>
      <c r="R86">
        <v>1</v>
      </c>
      <c r="T86" s="2">
        <v>1266</v>
      </c>
      <c r="U86" s="2">
        <v>2320</v>
      </c>
      <c r="V86" s="2">
        <v>1054</v>
      </c>
      <c r="W86" s="2">
        <v>1266</v>
      </c>
      <c r="X86" s="2">
        <v>2320</v>
      </c>
      <c r="Y86" t="s">
        <v>153</v>
      </c>
    </row>
    <row r="87" spans="1:25" x14ac:dyDescent="0.25">
      <c r="A87">
        <v>261780</v>
      </c>
      <c r="B87">
        <v>1</v>
      </c>
      <c r="C87" s="1">
        <v>44553</v>
      </c>
      <c r="D87">
        <v>23</v>
      </c>
      <c r="E87" t="s">
        <v>20</v>
      </c>
      <c r="F87">
        <v>2021</v>
      </c>
      <c r="G87">
        <v>31</v>
      </c>
      <c r="H87" t="s">
        <v>36</v>
      </c>
      <c r="I87" t="s">
        <v>22</v>
      </c>
      <c r="J87" t="s">
        <v>57</v>
      </c>
      <c r="K87" t="s">
        <v>58</v>
      </c>
      <c r="L87" t="s">
        <v>25</v>
      </c>
      <c r="M87" t="s">
        <v>26</v>
      </c>
      <c r="N87" t="s">
        <v>60</v>
      </c>
      <c r="O87" t="str">
        <f t="shared" si="9"/>
        <v>Mountain-200</v>
      </c>
      <c r="P87" t="str">
        <f t="shared" si="10"/>
        <v>Black</v>
      </c>
      <c r="Q87" t="str">
        <f t="shared" si="11"/>
        <v>42</v>
      </c>
      <c r="R87">
        <v>1</v>
      </c>
      <c r="T87" s="2">
        <v>1252</v>
      </c>
      <c r="U87" s="2">
        <v>2295</v>
      </c>
      <c r="V87" s="2">
        <v>1043</v>
      </c>
      <c r="W87" s="2">
        <v>1252</v>
      </c>
      <c r="X87" s="2">
        <v>2295</v>
      </c>
      <c r="Y87" t="s">
        <v>154</v>
      </c>
    </row>
    <row r="88" spans="1:25" x14ac:dyDescent="0.25">
      <c r="A88">
        <v>261781</v>
      </c>
      <c r="B88">
        <v>1</v>
      </c>
      <c r="C88" s="1">
        <v>44553</v>
      </c>
      <c r="D88">
        <v>23</v>
      </c>
      <c r="E88" t="s">
        <v>20</v>
      </c>
      <c r="F88">
        <v>2021</v>
      </c>
      <c r="G88">
        <v>35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26</v>
      </c>
      <c r="N88" t="s">
        <v>71</v>
      </c>
      <c r="O88" t="str">
        <f t="shared" si="9"/>
        <v>Mountain-500</v>
      </c>
      <c r="P88" t="str">
        <f t="shared" si="10"/>
        <v>Black</v>
      </c>
      <c r="Q88" t="str">
        <f t="shared" si="11"/>
        <v>42</v>
      </c>
      <c r="R88">
        <v>1</v>
      </c>
      <c r="T88" s="2">
        <v>295</v>
      </c>
      <c r="U88" s="2">
        <v>540</v>
      </c>
      <c r="V88" s="2">
        <v>245</v>
      </c>
      <c r="W88" s="2">
        <v>295</v>
      </c>
      <c r="X88" s="2">
        <v>540</v>
      </c>
      <c r="Y88" t="s">
        <v>155</v>
      </c>
    </row>
    <row r="89" spans="1:25" x14ac:dyDescent="0.25">
      <c r="A89">
        <v>261782</v>
      </c>
      <c r="B89">
        <v>1</v>
      </c>
      <c r="C89" s="1">
        <v>44554</v>
      </c>
      <c r="D89">
        <v>24</v>
      </c>
      <c r="E89" t="s">
        <v>20</v>
      </c>
      <c r="F89">
        <v>2021</v>
      </c>
      <c r="G89">
        <v>38</v>
      </c>
      <c r="H89" t="s">
        <v>21</v>
      </c>
      <c r="I89" t="s">
        <v>29</v>
      </c>
      <c r="J89" t="s">
        <v>37</v>
      </c>
      <c r="K89" t="s">
        <v>52</v>
      </c>
      <c r="L89" t="s">
        <v>25</v>
      </c>
      <c r="M89" t="s">
        <v>26</v>
      </c>
      <c r="N89" t="s">
        <v>60</v>
      </c>
      <c r="O89" t="str">
        <f t="shared" si="9"/>
        <v>Mountain-200</v>
      </c>
      <c r="P89" t="str">
        <f t="shared" si="10"/>
        <v>Black</v>
      </c>
      <c r="Q89" t="str">
        <f t="shared" si="11"/>
        <v>42</v>
      </c>
      <c r="R89">
        <v>4</v>
      </c>
      <c r="T89" s="2">
        <v>1252</v>
      </c>
      <c r="U89" s="2">
        <v>2295</v>
      </c>
      <c r="V89" s="2">
        <v>4172</v>
      </c>
      <c r="W89" s="2">
        <v>5008</v>
      </c>
      <c r="X89" s="2">
        <v>9180</v>
      </c>
      <c r="Y89" t="s">
        <v>156</v>
      </c>
    </row>
  </sheetData>
  <autoFilter ref="A1:Y89" xr:uid="{E4493800-B2EE-4AB1-A761-7F94ADA908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Bike_Sales_Functions_Lab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Vetancurt</dc:creator>
  <cp:lastModifiedBy>Ulises Vetancurt</cp:lastModifiedBy>
  <dcterms:created xsi:type="dcterms:W3CDTF">2026-04-21T19:57:10Z</dcterms:created>
  <dcterms:modified xsi:type="dcterms:W3CDTF">2026-04-21T19:59:01Z</dcterms:modified>
</cp:coreProperties>
</file>